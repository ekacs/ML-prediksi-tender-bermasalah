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GitHub\ML-prediksi-tender-bermasalah\dataset\"/>
    </mc:Choice>
  </mc:AlternateContent>
  <xr:revisionPtr revIDLastSave="0" documentId="13_ncr:1_{BBBC066B-CE7A-4274-BA97-EB22B6AAD77F}" xr6:coauthVersionLast="47" xr6:coauthVersionMax="47" xr10:uidLastSave="{00000000-0000-0000-0000-000000000000}"/>
  <bookViews>
    <workbookView xWindow="-120" yWindow="-120" windowWidth="29040" windowHeight="15720" activeTab="1" xr2:uid="{00000000-000D-0000-FFFF-FFFF00000000}"/>
  </bookViews>
  <sheets>
    <sheet name="TABLE_TENDER" sheetId="1" r:id="rId1"/>
    <sheet name="Sheet1 (2)" sheetId="2" r:id="rId2"/>
  </sheets>
  <definedNames>
    <definedName name="ExternalData_1" localSheetId="0">TABLE_TENDER!$A$1:$H$131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5ylVtrhJujOmF+kN1YsR4M7AaFrsCakLacrp2LB4Yt8="/>
    </ext>
  </extLst>
</workbook>
</file>

<file path=xl/calcChain.xml><?xml version="1.0" encoding="utf-8"?>
<calcChain xmlns="http://schemas.openxmlformats.org/spreadsheetml/2006/main">
  <c r="T131" i="2" l="1"/>
  <c r="S131" i="2"/>
  <c r="T130" i="2"/>
  <c r="S130" i="2"/>
  <c r="S129" i="2"/>
  <c r="T129" i="2" s="1"/>
  <c r="T128" i="2"/>
  <c r="S128" i="2"/>
  <c r="S127" i="2"/>
  <c r="T127" i="2" s="1"/>
  <c r="T126" i="2"/>
  <c r="S126" i="2"/>
  <c r="S125" i="2"/>
  <c r="T125" i="2" s="1"/>
  <c r="S124" i="2"/>
  <c r="T124" i="2" s="1"/>
  <c r="T123" i="2"/>
  <c r="S123" i="2"/>
  <c r="T122" i="2"/>
  <c r="S122" i="2"/>
  <c r="T121" i="2"/>
  <c r="S121" i="2"/>
  <c r="S120" i="2"/>
  <c r="T120" i="2" s="1"/>
  <c r="S119" i="2"/>
  <c r="T119" i="2" s="1"/>
  <c r="T118" i="2"/>
  <c r="S118" i="2"/>
  <c r="S117" i="2"/>
  <c r="T117" i="2" s="1"/>
  <c r="T116" i="2"/>
  <c r="S116" i="2"/>
  <c r="S115" i="2"/>
  <c r="T115" i="2" s="1"/>
  <c r="T114" i="2"/>
  <c r="S114" i="2"/>
  <c r="T113" i="2"/>
  <c r="S113" i="2"/>
  <c r="T112" i="2"/>
  <c r="S112" i="2"/>
  <c r="T111" i="2"/>
  <c r="S111" i="2"/>
  <c r="S110" i="2"/>
  <c r="T110" i="2" s="1"/>
  <c r="S109" i="2"/>
  <c r="T109" i="2" s="1"/>
  <c r="T108" i="2"/>
  <c r="S108" i="2"/>
  <c r="S107" i="2"/>
  <c r="T107" i="2" s="1"/>
  <c r="T106" i="2"/>
  <c r="S106" i="2"/>
  <c r="S105" i="2"/>
  <c r="T105" i="2" s="1"/>
  <c r="T104" i="2"/>
  <c r="S104" i="2"/>
  <c r="T103" i="2"/>
  <c r="S103" i="2"/>
  <c r="T102" i="2"/>
  <c r="S102" i="2"/>
  <c r="T101" i="2"/>
  <c r="S101" i="2"/>
  <c r="S100" i="2"/>
  <c r="T100" i="2" s="1"/>
  <c r="S99" i="2"/>
  <c r="T99" i="2" s="1"/>
  <c r="T98" i="2"/>
  <c r="S98" i="2"/>
  <c r="S97" i="2"/>
  <c r="T97" i="2" s="1"/>
  <c r="T96" i="2"/>
  <c r="S96" i="2"/>
  <c r="S95" i="2"/>
  <c r="T95" i="2" s="1"/>
  <c r="T94" i="2"/>
  <c r="S94" i="2"/>
  <c r="T93" i="2"/>
  <c r="S93" i="2"/>
  <c r="T92" i="2"/>
  <c r="S92" i="2"/>
  <c r="T91" i="2"/>
  <c r="S91" i="2"/>
  <c r="S90" i="2"/>
  <c r="T90" i="2" s="1"/>
  <c r="S89" i="2"/>
  <c r="T89" i="2" s="1"/>
  <c r="T88" i="2"/>
  <c r="S88" i="2"/>
  <c r="S87" i="2"/>
  <c r="T87" i="2" s="1"/>
  <c r="T86" i="2"/>
  <c r="S86" i="2"/>
  <c r="S85" i="2"/>
  <c r="T85" i="2" s="1"/>
  <c r="T84" i="2"/>
  <c r="S84" i="2"/>
  <c r="T83" i="2"/>
  <c r="S83" i="2"/>
  <c r="T82" i="2"/>
  <c r="S82" i="2"/>
  <c r="T81" i="2"/>
  <c r="S81" i="2"/>
  <c r="S80" i="2"/>
  <c r="T80" i="2" s="1"/>
  <c r="S79" i="2"/>
  <c r="T79" i="2" s="1"/>
  <c r="T78" i="2"/>
  <c r="S78" i="2"/>
  <c r="S77" i="2"/>
  <c r="T77" i="2" s="1"/>
  <c r="T76" i="2"/>
  <c r="S76" i="2"/>
  <c r="S75" i="2"/>
  <c r="T75" i="2" s="1"/>
  <c r="T74" i="2"/>
  <c r="S74" i="2"/>
  <c r="T73" i="2"/>
  <c r="S73" i="2"/>
  <c r="T72" i="2"/>
  <c r="S72" i="2"/>
  <c r="T71" i="2"/>
  <c r="S71" i="2"/>
  <c r="T70" i="2"/>
  <c r="S70" i="2"/>
  <c r="S69" i="2"/>
  <c r="T69" i="2" s="1"/>
  <c r="T68" i="2"/>
  <c r="S68" i="2"/>
  <c r="S67" i="2"/>
  <c r="T67" i="2" s="1"/>
  <c r="T66" i="2"/>
  <c r="S66" i="2"/>
  <c r="S65" i="2"/>
  <c r="T65" i="2" s="1"/>
  <c r="T64" i="2"/>
  <c r="S64" i="2"/>
  <c r="T63" i="2"/>
  <c r="S63" i="2"/>
  <c r="T62" i="2"/>
  <c r="S62" i="2"/>
  <c r="T61" i="2"/>
  <c r="S61" i="2"/>
  <c r="T60" i="2"/>
  <c r="S60" i="2"/>
  <c r="S59" i="2"/>
  <c r="T59" i="2" s="1"/>
  <c r="T58" i="2"/>
  <c r="S58" i="2"/>
  <c r="S57" i="2"/>
  <c r="T57" i="2" s="1"/>
  <c r="T56" i="2"/>
  <c r="S56" i="2"/>
  <c r="S55" i="2"/>
  <c r="T55" i="2" s="1"/>
  <c r="T54" i="2"/>
  <c r="S54" i="2"/>
  <c r="T53" i="2"/>
  <c r="S53" i="2"/>
  <c r="T52" i="2"/>
  <c r="S52" i="2"/>
  <c r="T51" i="2"/>
  <c r="S51" i="2"/>
  <c r="T50" i="2"/>
  <c r="S50" i="2"/>
  <c r="S49" i="2"/>
  <c r="T49" i="2" s="1"/>
  <c r="T48" i="2"/>
  <c r="S48" i="2"/>
  <c r="S47" i="2"/>
  <c r="T47" i="2" s="1"/>
  <c r="T46" i="2"/>
  <c r="S46" i="2"/>
  <c r="S45" i="2"/>
  <c r="T45" i="2" s="1"/>
  <c r="T44" i="2"/>
  <c r="S44" i="2"/>
  <c r="T43" i="2"/>
  <c r="S43" i="2"/>
  <c r="T42" i="2"/>
  <c r="S42" i="2"/>
  <c r="T41" i="2"/>
  <c r="S41" i="2"/>
  <c r="T40" i="2"/>
  <c r="S40" i="2"/>
  <c r="S39" i="2"/>
  <c r="T39" i="2" s="1"/>
  <c r="T38" i="2"/>
  <c r="S38" i="2"/>
  <c r="S37" i="2"/>
  <c r="T37" i="2" s="1"/>
  <c r="T36" i="2"/>
  <c r="S36" i="2"/>
  <c r="S35" i="2"/>
  <c r="T35" i="2" s="1"/>
  <c r="T34" i="2"/>
  <c r="S34" i="2"/>
  <c r="T33" i="2"/>
  <c r="S33" i="2"/>
  <c r="T32" i="2"/>
  <c r="S32" i="2"/>
  <c r="T31" i="2"/>
  <c r="S31" i="2"/>
  <c r="T30" i="2"/>
  <c r="S30" i="2"/>
  <c r="S29" i="2"/>
  <c r="T29" i="2" s="1"/>
  <c r="T28" i="2"/>
  <c r="S28" i="2"/>
  <c r="S27" i="2"/>
  <c r="T27" i="2" s="1"/>
  <c r="T26" i="2"/>
  <c r="S26" i="2"/>
  <c r="S25" i="2"/>
  <c r="T25" i="2" s="1"/>
  <c r="T24" i="2"/>
  <c r="S24" i="2"/>
  <c r="T23" i="2"/>
  <c r="S23" i="2"/>
  <c r="T22" i="2"/>
  <c r="S22" i="2"/>
  <c r="T21" i="2"/>
  <c r="S21" i="2"/>
  <c r="T20" i="2"/>
  <c r="S20" i="2"/>
  <c r="S19" i="2"/>
  <c r="T19" i="2" s="1"/>
  <c r="T18" i="2"/>
  <c r="S18" i="2"/>
  <c r="S17" i="2"/>
  <c r="T17" i="2" s="1"/>
  <c r="T16" i="2"/>
  <c r="S16" i="2"/>
  <c r="S15" i="2"/>
  <c r="T15" i="2" s="1"/>
  <c r="T14" i="2"/>
  <c r="S14" i="2"/>
  <c r="T13" i="2"/>
  <c r="S13" i="2"/>
  <c r="T12" i="2"/>
  <c r="S12" i="2"/>
  <c r="T11" i="2"/>
  <c r="S11" i="2"/>
  <c r="T10" i="2"/>
  <c r="S10" i="2"/>
  <c r="S9" i="2"/>
  <c r="T9" i="2" s="1"/>
  <c r="T8" i="2"/>
  <c r="S8" i="2"/>
  <c r="S7" i="2"/>
  <c r="T7" i="2" s="1"/>
  <c r="T6" i="2"/>
  <c r="S6" i="2"/>
  <c r="S5" i="2"/>
  <c r="T5" i="2" s="1"/>
  <c r="T4" i="2"/>
  <c r="S4" i="2"/>
  <c r="T3" i="2"/>
  <c r="S3" i="2"/>
  <c r="T2" i="2"/>
  <c r="S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92" authorId="0" shapeId="0" xr:uid="{00000000-0006-0000-0100-000001000000}">
      <text>
        <r>
          <rPr>
            <sz val="11"/>
            <color theme="1"/>
            <rFont val="Aptos Narrow"/>
            <scheme val="minor"/>
          </rPr>
          <t>======
ID#AAABUdNvhc0
raihan rama    (2024-05-07 03:44:02)
di LPSE Pemenangnya Rp. 58.244.958.188,14</t>
        </r>
      </text>
    </comment>
  </commentList>
  <extLst>
    <ext xmlns:r="http://schemas.openxmlformats.org/officeDocument/2006/relationships" uri="GoogleSheetsCustomDataVersion2">
      <go:sheetsCustomData xmlns:go="http://customooxmlschemas.google.com/" r:id="rId1" roundtripDataSignature="AMtx7mhyjsYEE6yUFDPmZk4EEv7z7qJkhA=="/>
    </ext>
  </extLst>
</comments>
</file>

<file path=xl/sharedStrings.xml><?xml version="1.0" encoding="utf-8"?>
<sst xmlns="http://schemas.openxmlformats.org/spreadsheetml/2006/main" count="1205" uniqueCount="543">
  <si>
    <t>Y</t>
  </si>
  <si>
    <t>X1</t>
  </si>
  <si>
    <t>X2</t>
  </si>
  <si>
    <t>X3</t>
  </si>
  <si>
    <t>X4</t>
  </si>
  <si>
    <t>X5</t>
  </si>
  <si>
    <t>X6</t>
  </si>
  <si>
    <t>X7</t>
  </si>
  <si>
    <t>T</t>
  </si>
  <si>
    <t>Satker</t>
  </si>
  <si>
    <t>Kode tender</t>
  </si>
  <si>
    <t>Nomor LHA</t>
  </si>
  <si>
    <t>Judul Tender</t>
  </si>
  <si>
    <t>Nama Pemenang</t>
  </si>
  <si>
    <t>Ada Temuan</t>
  </si>
  <si>
    <t>Nilai Kontrak</t>
  </si>
  <si>
    <t>Nilai HPS</t>
  </si>
  <si>
    <t>Durasi Pengumuman s/d penetapan</t>
  </si>
  <si>
    <t>Periode bulan dan tahun Tender</t>
  </si>
  <si>
    <t>Ada sanggahan</t>
  </si>
  <si>
    <t>Tahun Pelaksanaan (n Tahun)</t>
  </si>
  <si>
    <t xml:space="preserve">Ada pengaduan </t>
  </si>
  <si>
    <t>Terdapat Perusahaan pendukung</t>
  </si>
  <si>
    <t xml:space="preserve">Melalui Reviu HPS  </t>
  </si>
  <si>
    <t xml:space="preserve">Masuk Daftar Prioritas Strategis Nasional </t>
  </si>
  <si>
    <t>Masuk usulan daftar DPR/D</t>
  </si>
  <si>
    <t>Perusahaan Pendukung</t>
  </si>
  <si>
    <t>% kontrak/HPS</t>
  </si>
  <si>
    <t>selisih timpang</t>
  </si>
  <si>
    <t>skor PFA opentender</t>
  </si>
  <si>
    <t>Balai Pengelola Transportasi Darat Kelas II Jambi</t>
  </si>
  <si>
    <t>PS.003/1/15/ITJEN/2023</t>
  </si>
  <si>
    <t>Pembangunan Area Traffic Control System (ATCS) Kota Jambi (Lelang Tidak Mengikat)</t>
  </si>
  <si>
    <t>PT. SARANA LALULINTAS INDONESIA</t>
  </si>
  <si>
    <t>11 Januari 2021 s.d. 26 Januari 2021</t>
  </si>
  <si>
    <t>Y / T</t>
  </si>
  <si>
    <t>1. PT Manunggaling Rizki Karyatam Telnics (Bandung)</t>
  </si>
  <si>
    <t>Pembangunan ZoSS di BPTD Jambi (Tender Tidak Mengikat)</t>
  </si>
  <si>
    <t>PT. WAHANA GREEN ENERGY</t>
  </si>
  <si>
    <t>25 Maret 2021 s.d. 9 April 2021</t>
  </si>
  <si>
    <t>CV.ATJEH BAROE</t>
  </si>
  <si>
    <t>23 Oktober 2021 s.d. 05 November 2021</t>
  </si>
  <si>
    <t>Pembangunan Halte Sungai Desa Rantau Rasau Kec. Rantau Rasau Kab. Tanjab Timur</t>
  </si>
  <si>
    <t>CV. Zaki Persada</t>
  </si>
  <si>
    <t>12 Maret 2021 s.d. 14 April 2021</t>
  </si>
  <si>
    <t>Pengadaan dan Pemasangan Perlengkapan Jalan Nasional Ruas 014 Sarolangun - Bts. Prov. Sumsel</t>
  </si>
  <si>
    <t>CV. MEGAH PERKASA</t>
  </si>
  <si>
    <t>14 Januari 2021 s.d. 10 Februari 2021</t>
  </si>
  <si>
    <t xml:space="preserve">
PT Santinilestari Energi Indonesia (Jl. Raya Surabaya Malang KM.40, Ngerong, Kec. Gempol-Kab. Pasuruan)
CV. Trisula Wahyu Wahana (Perum. Graha Citra Mas Blok B No.8 Jember- Jawa Timur)
PT Tohoma Mandiri (18 Office Park Lt. 15, Jl. TB. Simatupang Kav. 18, Kebagusan, Pasar Minggu, Jakarta Selatan,12520)
</t>
  </si>
  <si>
    <t>Pembangunan Halte Sungai Desa Merbau Kec. Mendahara Tengah kab. Tanjab Timur</t>
  </si>
  <si>
    <t>CV. Paduko Perkaso</t>
  </si>
  <si>
    <t>20 April 2022 s.d. 19 Mei 2022</t>
  </si>
  <si>
    <t>PT. Karya Steel Sejahtera (Jln Lingkar Selatan No 169 RT 01 Palmerah Jambi)</t>
  </si>
  <si>
    <t>Pembangunan Halte Sungai Desa Kuala Kahar Kecamatan Seberang kab. Tanjung Jabung Barat</t>
  </si>
  <si>
    <t>CV. ALIOSIA KONTRUKSI</t>
  </si>
  <si>
    <t>PEMBANGUNAN HALTE SUNGAI DUSUN TANJUNG MAWAR DESA KAYU ARO KECAMATAN SENYERANG KAB. TANJUNG JABUNG BARAT</t>
  </si>
  <si>
    <t>CV. Nandya Gunakarya Cipta</t>
  </si>
  <si>
    <t>12 April 2023 s.d. 4 Mei 2023</t>
  </si>
  <si>
    <t>PEMBANGUNAN HALTE SUNGAI TELUK MAJELIS KEC. KUALA JAMBI KAB. TANJAB TIMUR</t>
  </si>
  <si>
    <t>CV. RAFANDA AL RAZAAK</t>
  </si>
  <si>
    <t>13 April 2023 s.d. 4 Mei 2023</t>
  </si>
  <si>
    <t>PEMBANGUNAN HALTE SUNGAI DESA LUMAHAN KECAMATAN SENYERANG KAB. TANJUNG JABUNG BARAT</t>
  </si>
  <si>
    <t>CV. DAMAI JAYA</t>
  </si>
  <si>
    <t>14 April 2023 s.d. 4 Mei 2023</t>
  </si>
  <si>
    <t>Pengadaan dan Pemasangan Rambu Sungai Di
Sungai Batanghari</t>
  </si>
  <si>
    <t>CV. BUKIT GRAHA</t>
  </si>
  <si>
    <t>8 Maret 2023 s.d. 22 Maret 2023</t>
  </si>
  <si>
    <t>Hendri Zul Putra (Jl. Bengkulu A/04 RT.009 Kel. simpang Tiga Sipin kec. Kota baru-Jambi</t>
  </si>
  <si>
    <t>Balai Pengelola Transportasi Darat Kelas II Kalimantan Selatan</t>
  </si>
  <si>
    <t>PS.003/1/7/ITJEN/2023</t>
  </si>
  <si>
    <t>Pengadaan dan Pemasangan Batterai, Lampu dan
Panel Surya Alat Penerangan Jalan Dalam Rangka
Pemeliharaan</t>
  </si>
  <si>
    <t>CV.Cahaya bintang lima</t>
  </si>
  <si>
    <t>10 Juli 2020 s.d. 3 Agustus 2020</t>
  </si>
  <si>
    <t>PT. Aneka Sarana Pratama Jaya (Kp Gardu Rt 003 Rw 001 No 31 Kel, Buaran Kec Serpong Kota Tangerang Selatan Banten 16310)</t>
  </si>
  <si>
    <t>Pembangunan ITS Kota Banjarmasin</t>
  </si>
  <si>
    <t>PT. GAMA TEKNIKA</t>
  </si>
  <si>
    <t>18 Desember 2020 s.d. 8 Januari 2021</t>
  </si>
  <si>
    <t>PT. Hotware Indonesia (Jl. Kamal Raya Oter Ring Road, Mutiara Taman Palem Blok A17/39 Cengkareng Jakarta -Barat)</t>
  </si>
  <si>
    <t>Pengadaan dan Pemasangan ATCS Tabalong</t>
  </si>
  <si>
    <t>PT. DECO CIPTA PRATAMA</t>
  </si>
  <si>
    <t>19 Desember 2020 s.d. 8 Januari 2021</t>
  </si>
  <si>
    <t>PT. Javis Teknologi Albarokah (Jl. Elang Jawa No.12 Wedomartani, Sleman, D.I. Yogyakarta 55584)</t>
  </si>
  <si>
    <t>Pengadaan dan Pemasangan Fasilitas Perlengkapan
Jalan Nasional di Ruas 048</t>
  </si>
  <si>
    <t>CV. SYAFIQ MULTI KONTRAKTOR</t>
  </si>
  <si>
    <t>9 November 2021 s.d. 24 November 2021</t>
  </si>
  <si>
    <t>PT. Dwi Putra Khatulistiwa (Komp. Mekatama Raya III Blok P No. 10 Rt. 038 Rw. 004 Kel.
Guntung Manggis Kec. Landasan Ulin Kota Banjarbaru)</t>
  </si>
  <si>
    <t xml:space="preserve">Pembangunan ZOSS di BPTD Kalsel </t>
  </si>
  <si>
    <t>CV. TIRTA WIDYAUTAMA</t>
  </si>
  <si>
    <t>23 Februari 2022 s.d. 23 Maret 2022</t>
  </si>
  <si>
    <t>Peningkatan Dermaga Sungai Gampa Kabupaten Barito Kuala Tahap II</t>
  </si>
  <si>
    <t>CV.CAHAYA NUSANTARA</t>
  </si>
  <si>
    <t>10 Desember 2021 s.d. 25 Januari 2022</t>
  </si>
  <si>
    <t>PT. Sahabat Inti Sejahtera (Komp. Harapan Jaya, Bekasi-Jawa Barat)</t>
  </si>
  <si>
    <t>Peningkatan Dermaga Sungai Desa Pendalaman
Baru Kec.Berambai Kabupaten Barito Kuala
Tahap II</t>
  </si>
  <si>
    <t>-PT. Putra Baja Deli (Wisma ADR Penjaringan - Jakarta Utara
-PT. Sahabat Inti Sejahtera (Komp. Harapan Jaya, Bekasi-Jawa Barat)
-PT. Farika Steel (Jl. Karang Anyar Permai 55 Blok A No.41 Jak-Pus)</t>
  </si>
  <si>
    <t>Pekerjaan Konstruksi Pembangunan ATCS Kota Banjarbaru/Banjarbakula</t>
  </si>
  <si>
    <t>PT.Qumicon Indonesia</t>
  </si>
  <si>
    <t>11 Januari 2022 s.d. 3 Februari 2022</t>
  </si>
  <si>
    <t>- PT. PURIMET METROPOLITAN (Grogol-Petamburan, Jakarta Barat)
- PT. Hotware Indonseia (Cengkareng-Jakarta Barat)</t>
  </si>
  <si>
    <t>Balai Pengujian Laik Jalan dan Sertifikasi Kendaraan Bermotor Bekasi</t>
  </si>
  <si>
    <t>06/LHA/IT.II.IV/2021</t>
  </si>
  <si>
    <t>Pekerjaan Pemeliharaan Peralatan Pengujian Emisi R83 dan Fasilitas Pendukungnya</t>
  </si>
  <si>
    <t>PT LMS INDONESIA</t>
  </si>
  <si>
    <t>30 Mei 2023 s.d. 9 Juni 2023</t>
  </si>
  <si>
    <t>Balai Pengelola Transportasi Darat Wilayah XII Provinsi Bali dan NTB</t>
  </si>
  <si>
    <t>PS.003/1/6/ITJEN/2022</t>
  </si>
  <si>
    <t>Pekerjaan Pembangunan Dermaga Desa Trunyan di Danau Batur</t>
  </si>
  <si>
    <t>CV. SHINTYA LESTARI</t>
  </si>
  <si>
    <t>11 Januari 2022 s.d. 4 Februari 2022</t>
  </si>
  <si>
    <t>PT. Berkat Energi Sollusindo (Jl. Kalijudan No.3 Surabaya-Jawa Timur)
- PT. Indal Steel Pipe (Jl. gunung Sahari Kav. 18)</t>
  </si>
  <si>
    <t>Pekerjaan Pembangunan Dermaga Kuburan di Danau Batur Tahap III</t>
  </si>
  <si>
    <r>
      <rPr>
        <strike/>
        <sz val="11"/>
        <color theme="1"/>
        <rFont val="Arial"/>
      </rPr>
      <t xml:space="preserve">PT. TAURUS SEJAHTRA
</t>
    </r>
    <r>
      <rPr>
        <sz val="11"/>
        <color theme="1"/>
        <rFont val="Arial"/>
      </rPr>
      <t>PT MAKMUR SULTENG RAYA</t>
    </r>
  </si>
  <si>
    <t>11 Januari 2022 s.d. 10 Februari 2022</t>
  </si>
  <si>
    <t>Balai Pengelola Transportasi Darat Wilayah XXI Provinsi Gorontalo</t>
  </si>
  <si>
    <t>52/LHA/IT.IV/2019</t>
  </si>
  <si>
    <t>Pekerjaan Pengadaan dan Pemasangan Perlengkapan Jalan di Ruas Jalan 010 Paguyaman-Tabulo</t>
  </si>
  <si>
    <t>CV. SAK MANDIRI</t>
  </si>
  <si>
    <t xml:space="preserve">26 Maret 2019 s.d. 23 April 2019 </t>
  </si>
  <si>
    <t>CV. BHAKTI INSAN PERSADA (Jl Raya Cikopo-Cikampek/Purwakarta No1)</t>
  </si>
  <si>
    <t>Pekerjaan Pembangunan Fasilitas UPPKB Molotabu Tahap II TA.2019</t>
  </si>
  <si>
    <t>PT. Al Barokah Harapan</t>
  </si>
  <si>
    <t>1 Mei 2019 s.d. 17 Mei 2019</t>
  </si>
  <si>
    <t>Pembangunan Fasilitas UPPKB Molotabu</t>
  </si>
  <si>
    <t>PT. JOINT INDONESIA</t>
  </si>
  <si>
    <t>6 Maret 2018 s.d. 23 Maret 2018</t>
  </si>
  <si>
    <t>Rehabilitasi Fasilitas Lalu Lintas Jalan</t>
  </si>
  <si>
    <t>CV. PUTERA LINTAS NUSA</t>
  </si>
  <si>
    <t>8 Maret 2018 s.d. 29 Maret 2018</t>
  </si>
  <si>
    <t>Balai Pengelola Transportasi Wilayah XXII Sulawesi Utara</t>
  </si>
  <si>
    <t>PS.003/1/21/ITJEN/2022</t>
  </si>
  <si>
    <t>Pengadaan dan Pemasangan Perlengkapan Jalan Dukungan KSPN Likupang (Likupang-Wori)</t>
  </si>
  <si>
    <t>MARIO ABADI</t>
  </si>
  <si>
    <t>31 Agustus 2020 s.d. 12 September 2020</t>
  </si>
  <si>
    <t>PT. Berkat Energi Solusi Indonesia (Jl. Raya Bypass Surabaya-Malang Dusun Kalitengah No.098 Desa Karangjati, Kec Pandaan Kab. Pasuruan Jawa Timur)</t>
  </si>
  <si>
    <t>Balai Pengelola Transportasi Wilayah XXV Provinsi Papua dan Papua Barat</t>
  </si>
  <si>
    <t>27/LHA/IT.I/VIII/2022</t>
  </si>
  <si>
    <t>Pembangunan Pelabuhan Penyeberangan Klademak</t>
  </si>
  <si>
    <t>PT. ISTANA PUTRA AGUNG</t>
  </si>
  <si>
    <t>7 Agustus 2020 s.d. 24 September 2020</t>
  </si>
  <si>
    <t>CV. Takasima Jaya (Jl Menur Kelurahan Mariyai Distrik Mariat Kab. Sorong)</t>
  </si>
  <si>
    <t>Balai Pengelola Transportasi Wilayah III Provinsi Sumatera Barat</t>
  </si>
  <si>
    <t>30/LHA/IT.I/IX/2022</t>
  </si>
  <si>
    <t>Pembangunan Pelabuhan Penyeberangan Teluk Bungus Tahap III</t>
  </si>
  <si>
    <t>PT.Warna Baru Indonesia</t>
  </si>
  <si>
    <t>1 Desember 2021 s.d. 23 Januari 2022</t>
  </si>
  <si>
    <t>CV. Fallah Pilling Jaya (Jl. Lawet Raya, Jambi)</t>
  </si>
  <si>
    <t>Balai Pengelola Transportasi Darat Wilayah I Provinsi Nanggroe Aceh Darussalam</t>
  </si>
  <si>
    <t>03/LHA/IT.I/III/2021</t>
  </si>
  <si>
    <t>Pengadaan dan Pemasangan Perlengkapan Jalan Ruas 004 Batas Kota Sigli Beureneun</t>
  </si>
  <si>
    <t>PT. RIDHA GEMILANG SUKSES</t>
  </si>
  <si>
    <t>10 Agustus 2020 s.d.  1 September 2020</t>
  </si>
  <si>
    <t>1. PT. Semesta Makmur Bersama (Pergudangan 169 No. A&amp;B, Jl Husein Sastranegara Jurumudi, Tangerang 15124)
2. PT. Tunas Makmur Jaya Abadi (Kawasan Industri Jababeka I Jl. Jababeka III H Blok C No. 17 BT Cikarang Bekasi - Jawa Barat)
3. PT. Aneka Sarana Pratama Jaya (Kp Gardu Rt.003 Rw.001 No.31 Kel.Buaran Kec. Serpong Kota Tangerang Selatan Banten 16310)
4. PT Tohoma Mandiri (18 Office Park Lt.15, Jl. TB Simatupang Kav.18, Kebagusan, Pasar Minggu, Jakarta Selatan, 12520)</t>
  </si>
  <si>
    <t>Pengadaan dan Pemasangan Perlengkapan Jalan Ruas 002-11-K Chik Ditiro Banda Aceh</t>
  </si>
  <si>
    <t>PT. BERKAH BERSAMA KONTRAKTOR</t>
  </si>
  <si>
    <t>6 Mei 2019 s.d. 21 Mei 2019</t>
  </si>
  <si>
    <t>PT. Imperial Industri Indonesia (Jl. Kranji No.91 Lempongsari Palagan Yogyakarta Indonesia 55581)</t>
  </si>
  <si>
    <t>Pengadaan dan Pemasangan Perlengkapan Jalan Ruas 012-3 Kota Kuala Simpang-Batas Prov. Sumut &amp; Ruas 037-2 Kota Subulussalam-Batas Sumut</t>
  </si>
  <si>
    <t>cv. cia</t>
  </si>
  <si>
    <t>16 Juni 2019 s.d. 2 Juli 2019</t>
  </si>
  <si>
    <t>Balai Pengelola Transportasi Darat Wilayah XVIII Provinsi Sulawesi Tenggara</t>
  </si>
  <si>
    <t>08/LHA/IT.IV/V/2021</t>
  </si>
  <si>
    <t>Pekerjaan Pembangunan Pelabuhan Penyeberangan Kaledupa Tahap III</t>
  </si>
  <si>
    <t>PT. SINAR LIMA PUTRA</t>
  </si>
  <si>
    <t>3 Februari 2020 s.d. 27 Februari 2020</t>
  </si>
  <si>
    <t>PT. Aneka Bangunan Cipta (Jl.A.Yani No 92-64 Kendari-Sultra, Telp (0401) 3190520)</t>
  </si>
  <si>
    <t>Balai Pengelola Transportasi Darat Wilayah XXIII Provinsi Maluku</t>
  </si>
  <si>
    <t>13/LHA/ITJEN/IT.II/V/2021</t>
  </si>
  <si>
    <t>Rehabilitasi/Peningkatan Pelabuhan Penyeberangan DOBO Tahap II TA. 2020</t>
  </si>
  <si>
    <t>Canayya Construction</t>
  </si>
  <si>
    <t>8 Mei 2020 s.d. 8 Juni 2020</t>
  </si>
  <si>
    <t>CV. Maulana Creasindotam (Jl Utama Komplek Utama Hoki Garden Blok D12 RT 3 RW 6 Keluarahan Rejosari Kecamatan Tenayan Raya Kota Pekanbaru)</t>
  </si>
  <si>
    <t>Balai Pengelola Transportasi Darat Wilayah XXIV Provinsi Maluku Utara</t>
  </si>
  <si>
    <t>09/LHA/IT.I/V/2021</t>
  </si>
  <si>
    <t>Ruas Jalan Nasional Jenderal Ahmad Yani (NRJ.027.12)</t>
  </si>
  <si>
    <t>CV.JOYO MUKTI</t>
  </si>
  <si>
    <t>4 Mei 2020 s.d. 8 Juni 2020</t>
  </si>
  <si>
    <t>PT. Semesta Makmur Bersama (Pergudangan 169 No A&amp;B Jl Husein Sastranegara jurumudi, Tangerang 15124)</t>
  </si>
  <si>
    <t>Ruas Jalan Nasional Frans Kaisepo (NRJ.027.14K)</t>
  </si>
  <si>
    <t>PT. PASUNDAN JAYA ABADI</t>
  </si>
  <si>
    <t>1. PT. Tunas Makmur Jaya Abadi (Jababeka III H Blok C No 17 BT, Kawasan Industru Jababeka Tahap I desa Pasir Gombong Kec Cikarang Utara)
2. PT. Semesta Makmur Bersama (Komplek Pergudangan 169 Blok A/B Jurumudi Benda Tangerang 15124
3. PT. Bangun Cipta Marga (Green Lake City Rukan CBD Blok M No 08A Kel Gondrong Kec Cipondoh Kota Tangerang Provinsi Banten)</t>
  </si>
  <si>
    <t>Ruas Jalan Nasional Pelabuhan Goto (NRJ.027.13K)</t>
  </si>
  <si>
    <t>CV.JOYO MUKT</t>
  </si>
  <si>
    <t>Pengadaan dan Pemasangan Perlengkapan Jalan 027.16K Jl. Sultan Syaifudin Tidore</t>
  </si>
  <si>
    <t>PT Cipta Marga Abadi</t>
  </si>
  <si>
    <t>5 September 2020 s.d. 14 September 2020</t>
  </si>
  <si>
    <t>Ruas Jalan Nasional Wayabula - Daruba (NRJ.024)</t>
  </si>
  <si>
    <t>22 Juni 2020 s.d. 5 Juli 2020</t>
  </si>
  <si>
    <t>Pengadaan dan Pemasangan Perlengkapan Jalan Ruas Jalan Nasional Batas Kota Daruba - Sangowo (NRJ.020)</t>
  </si>
  <si>
    <t>Direktorat Lalu Lintas Jalan</t>
  </si>
  <si>
    <t>22/LHA/IT.I/X/2021</t>
  </si>
  <si>
    <t>Pengadaan dan Pemasangan Perlengkapan Jalan untuk Asia dan Asean Highway P. Sumatera (Dumai - Pekanbaru)</t>
  </si>
  <si>
    <t>PT. MITRA MENTARI SEJAHTERA</t>
  </si>
  <si>
    <t xml:space="preserve">5 Mei 2020 s.d. 	27 Mei 2020 </t>
  </si>
  <si>
    <t>Balai Pengelola Transportasi Darat Wilayah II Provinsi Sumatera Utara</t>
  </si>
  <si>
    <t>16/LHA/ITJEN/IT.II/VIII/2020</t>
  </si>
  <si>
    <t>Pekerjaan Konstruksi Pengadaan dan Pemasangan Perlengkapan Jalan Nasional Kabupaten Simalungun</t>
  </si>
  <si>
    <t>CV. Priscilla Putri</t>
  </si>
  <si>
    <t>28 Maret 2019 s.d. 23 April 2019</t>
  </si>
  <si>
    <t>Pekerjaan Konstruksi Pengadaan dan Pemasangan Perlengkapan Jalan Dolok Merangir-P, Siantar-Parapat</t>
  </si>
  <si>
    <t>CV.PANTE RAYA</t>
  </si>
  <si>
    <t>25 Maret 2019 s.d. 15 April 2019</t>
  </si>
  <si>
    <t>Pekerjaan Konstruksi Pengadaan dan Pemasangan Perlengkapan Jalan Nasional Kawasan Strategis Nasional Danau Toba</t>
  </si>
  <si>
    <t>PT. BUANA ENERGI PRIMA</t>
  </si>
  <si>
    <t>25 Maret 2019 s.d. 9 April 2019</t>
  </si>
  <si>
    <t>Pekerjaan Pembangunan Pelabuhan Penyeberangan Teluk Dalam Tahap I</t>
  </si>
  <si>
    <t>PT. Ciptama Karya Sukses</t>
  </si>
  <si>
    <t>22 Mei 2019 s.d. 12 Juni 2019</t>
  </si>
  <si>
    <t>Lanjutan Pembangunan Pelabuhan Ambarita Danau Toba Tahap III</t>
  </si>
  <si>
    <t>CV. CAHAYA MENTARI</t>
  </si>
  <si>
    <t>8 Mei 2019 s.d. 21 Mei 2019</t>
  </si>
  <si>
    <t>Balai Pengelola Transportasi Darat Wilayah XVI Provinsi Kalimantan Tengah</t>
  </si>
  <si>
    <t>06/LHA/IT.I/X/2020</t>
  </si>
  <si>
    <t>Pekerjaan Peningkatan dan Rehabilitasi Dermaga Penyeberangan Sungai Mentaya Kabupaten Kotawaringin Timur TA.2020</t>
  </si>
  <si>
    <t>CV.AINI QOLBU</t>
  </si>
  <si>
    <t>30 Maret 2020 s.d. 15 April 2020</t>
  </si>
  <si>
    <t>Pekerjaan Pengadaan dan Pemasangan Rambu Sungai di DAS Sebangau</t>
  </si>
  <si>
    <t>CV. HASRAT USAHA MENJADI ABADI</t>
  </si>
  <si>
    <t>9 April 2020 s.d. 2 Mei 2020</t>
  </si>
  <si>
    <t>Maslianor (Jl. Melati No.16 Rt.027 Rw.003 Kel. Selat Tengah Kec. Selat Kab. Kapuas)</t>
  </si>
  <si>
    <t>Pekerjaan Pengadaan dan Pemasangan Rambu Sungai di DAS Barito</t>
  </si>
  <si>
    <t>CAHAYA MANDIRI</t>
  </si>
  <si>
    <t>Peningkatan dan Rehabilitasi UPPKB Anjir Serapat Tahap II</t>
  </si>
  <si>
    <t>PT. BANUA AGUNG ANITAMA</t>
  </si>
  <si>
    <t>16 Mei 2019 s.d. 21 Juni 2019</t>
  </si>
  <si>
    <t>PT. ADIPATRIA DHARMA (Jalan Ulin No 21 Telepon (0536) 3222321</t>
  </si>
  <si>
    <t>Peningkatan dan Rehabilitasi UPPKB Anjir Serapat Tahap III</t>
  </si>
  <si>
    <t>13 April 2020 s.d. 29 April 2020</t>
  </si>
  <si>
    <t>Pengadaan dan Pemasangan Perlengkapan Jalan Nasional Provinsi Kalimantan Tengah</t>
  </si>
  <si>
    <t>CV.TIRTA KENCANA JAYA</t>
  </si>
  <si>
    <t>19 Desember 2019 s.d. 13 Januari 2020</t>
  </si>
  <si>
    <t>PT. Aneka Sarana Pratama Jaya (Jl. Kp Kalimati No 40 RT.004 RW.006 Kel Kedaung Kaliangke Kec, Cengkareng)</t>
  </si>
  <si>
    <t>Pengadaan dan Pemasangan Perlengkapan Jalan Nasional Puruk Cahu - Bts Kota Muara Teweh, Benangin Lampoeng</t>
  </si>
  <si>
    <t xml:space="preserve">19 Desember 2019 s.d. 13 Januari 2020 </t>
  </si>
  <si>
    <t>Balai Pengelola Transportasi Darat Wilayah IV Provinsi Riau dan Provinsi Kepulauan Riau</t>
  </si>
  <si>
    <t>56/LHA/IT.II/X/2018</t>
  </si>
  <si>
    <t>Pembangunan Dermaga Penyeberangan Matak Tahap IX</t>
  </si>
  <si>
    <t>PT. ANUGERAH PERSADA INDAH KONSTRUKSI</t>
  </si>
  <si>
    <t>10 April 2017 s..d 21 April 2017</t>
  </si>
  <si>
    <t>BTP Jawa Barat</t>
  </si>
  <si>
    <t>ADTT</t>
  </si>
  <si>
    <t>Pembangunan Jalur Ganda KA KM 162+000 s/d KM 163+150 antara Kiaracondong - Cicalengka Tahap II Segmen Kiaracondong - Gedebage dan Segmen Haurpugur - Cicalengka</t>
  </si>
  <si>
    <t>16 Feb - 5 April 2022</t>
  </si>
  <si>
    <t>ADA</t>
  </si>
  <si>
    <t>PT YASAPOLA REMAJA</t>
  </si>
  <si>
    <t>16 Feb - 14 Maret 2022</t>
  </si>
  <si>
    <t>Pembangunan Jalur Ganda KA KM 160+500 s/d KM 162+000 antara Kiaracondong - Cicalengka Tahap II Segmen Kiaracondong - Gedebage dan Segmen Haurpugur - Cicalengka</t>
  </si>
  <si>
    <t>PT. YASHILLA EKA KARYA</t>
  </si>
  <si>
    <t>BALAI TEKNIK PERKERETAAPIAN KELAS I WILAYAH JAKARTA</t>
  </si>
  <si>
    <t>Pembangunan Fasilitas Perkeretaapian Untuk Bekasi s/d Cikarang Pekerjaan Sipil Stasiun Bekasi (KST 5)</t>
  </si>
  <si>
    <t>P T.H a p s a k a M a s</t>
  </si>
  <si>
    <t>24 Juni 2019 s.d. 22 Juli 2019</t>
  </si>
  <si>
    <t>y</t>
  </si>
  <si>
    <t>1. PT. Winara Karya Madani (Garut)
2. PT. Akurasi Presisi Indonesia (Bekasi)</t>
  </si>
  <si>
    <t>Penggantian Sistem Persinyalan dan Telekomunikasi Stasiun Cikarang - Stasiun Cikampek (Tender tidak Mengikat)</t>
  </si>
  <si>
    <t>PT. LEN INDUSTRI (Persero)</t>
  </si>
  <si>
    <t>14 Oktober 2020 s.d. 8 Desember 2020</t>
  </si>
  <si>
    <t>1. CV Panadev (Bandung)
2. Gatriesta Indonesia (Cimahi)
3. Samudera Safety Equipment&amp;Outdoor (Bandung)
4. PT. Yuditha Nugraha Karya (Jkt Selatan)
5. CV. Kharisma Karya Sejati (Bekasi)</t>
  </si>
  <si>
    <t>Pembangunan Fasilitas Perkeretaapian Untuk Bekasi s/d Cikarang Pembangunan Underpass di Emplasemen Stasiun Cibitung</t>
  </si>
  <si>
    <t>19 Juli 2019 s.d. 12 September 2019</t>
  </si>
  <si>
    <t xml:space="preserve">1. PT. Berdikari Pondasi Perkasa (Jkt)
2. PT. Sintata Karyasari (Jkt Timur)
3. PT. Bahagia Jaya Mandiri (Bintaro)
4. PT. Surya Artha Reksa (Bekasi Timur)
5. PT. Pitong Jaya (Banten)
6. PT. Modern Surya Jaya (Semarang)
7. PT. Lubuk Tegar Perkasa (Semarang)
8. PT. Graha Pondasi Semesta (Jkt Utara)
</t>
  </si>
  <si>
    <t xml:space="preserve">Kesyahbandaran dan Otoritas Pelabuhan Kelas IV Pulang Pisau
</t>
  </si>
  <si>
    <t>PS.004/1/2/ITJEN/2024</t>
  </si>
  <si>
    <t>Pembangunan Faspel Laut Bahaur TA 2022 – 2023 (Multi Years Contract)</t>
  </si>
  <si>
    <t>PT. Tusenss Krida Utama</t>
  </si>
  <si>
    <t>18 Agustus 2022 s.d. 10 November
2023</t>
  </si>
  <si>
    <t>Unit Penyelenggara Pelabuhan Kelas III Kuala Gaung</t>
  </si>
  <si>
    <t>PS.004/I/I/ITJEN/2024</t>
  </si>
  <si>
    <t>Pengembangan Fasilitas Pelabuhan Kuala Gaung Tahun Anggaran 2023</t>
  </si>
  <si>
    <t>PT. ARTAJAYA MAHAKARYA SAMUDRA</t>
  </si>
  <si>
    <t>Tgl 22 Februari 2023 - 26 Juli 2023</t>
  </si>
  <si>
    <t>Kesyahbandaran dan Otoritas Pelabuhan Kelas IV Ende</t>
  </si>
  <si>
    <t>PS.004/4/8/ITJEN/2023</t>
  </si>
  <si>
    <t>Lanjutan Pembangunan Fasilitas Pelabuhan Ippi</t>
  </si>
  <si>
    <t>CV. KAROMA NUSANTARA</t>
  </si>
  <si>
    <t>10 April 2023-7 Oktober 2023</t>
  </si>
  <si>
    <t>Distrik Navigasi Kelas I Bitung</t>
  </si>
  <si>
    <t>PS.004/4/10/ITJEN/2023</t>
  </si>
  <si>
    <t>Pembangunan Rambu Suar T. 10 M Laut Konstruksi Baja Galvanis Wilayah Pantai Barat 2 (dua) Lokasi Karang Luar Anggrek dan Karang Siladen</t>
  </si>
  <si>
    <t>PT.CITRA JAYA SEJATI</t>
  </si>
  <si>
    <t>24 Juli-20 Desember 2020</t>
  </si>
  <si>
    <t>Unit Penyelenggara Pelabuhan Kelas II Tana Paser</t>
  </si>
  <si>
    <t>10/LHA/IT.III/XII/2023</t>
  </si>
  <si>
    <t>Pekerjaan Rehabilitasi Fasilitas Pelabuhan Tana Paser TA. 2022 - 2023</t>
  </si>
  <si>
    <t>PT. SULAWESI MAKMUR PRATAMA</t>
  </si>
  <si>
    <t>21 Juni 2022-16 September 2023</t>
  </si>
  <si>
    <t>Kesyahbandaran dan Otoritas Pelabuhan Kelas III Kupang</t>
  </si>
  <si>
    <t>03/LHA/IT.III/XII/2023</t>
  </si>
  <si>
    <t>Pembangunan Tembok Penahan Tebing dan Renovasi Gedung Kantor KSOP Kelas III Tenau</t>
  </si>
  <si>
    <t>PT. BOANERGES PUTRA UTAMA</t>
  </si>
  <si>
    <t>3 Februari-21 November 2023</t>
  </si>
  <si>
    <t>Unit Penyelenggara Pelabuhan Kelas II Bulukumba</t>
  </si>
  <si>
    <t>PS.004/4/11/ITJEN/2023</t>
  </si>
  <si>
    <t>Pekerjaan Konstruksi Pembangunan Fasilitas Pelabuhan Laut Kajang MYC 2022-2023</t>
  </si>
  <si>
    <t>PT. RAMADHAN KARYA PRATAMA</t>
  </si>
  <si>
    <t>27 Oktober 2022-24 Mei 2023</t>
  </si>
  <si>
    <t>Pekerjaan Konstruksi Pembangunan Fasilitas Pelabuhan Laut Kajang</t>
  </si>
  <si>
    <t>CV.WIRA BHAKTI</t>
  </si>
  <si>
    <t>16 - 24 Agustus 2023</t>
  </si>
  <si>
    <t>Unit Penyelenggara Pelabuhan Kelas III Bula</t>
  </si>
  <si>
    <t>PS.004/4/1/ITJEN/2023</t>
  </si>
  <si>
    <t>Replace Fasilitas Pelabuhan Laut Bula Tahap II</t>
  </si>
  <si>
    <t>PT.ESPREZZA CIPTA GRIYA</t>
  </si>
  <si>
    <t>28 Desember 2022 s/d 11 Januari 2023</t>
  </si>
  <si>
    <t>Pengembangan Fasilitas Darat Pelabuhan Wahai</t>
  </si>
  <si>
    <t>PT. PACIFIC MULTINDO PERMAI</t>
  </si>
  <si>
    <t>27 April -23 Desember 2017</t>
  </si>
  <si>
    <t>Pengembangan Fasilitas Pelabuhan Laut Kobisadar</t>
  </si>
  <si>
    <t>PT. Bangun Jaya Raya</t>
  </si>
  <si>
    <t>2 November -31 Desember 2018</t>
  </si>
  <si>
    <t>Rehabilitasi Pembangunan Fasilitas Pelabuhan Laut Bula</t>
  </si>
  <si>
    <t>CV. AZRY MAKMUR</t>
  </si>
  <si>
    <r>
      <rPr>
        <strike/>
        <sz val="11"/>
        <color theme="1"/>
        <rFont val="Arial"/>
      </rPr>
      <t xml:space="preserve">Pembangunan Fasilitas Darat dan Penggantian Fender Pelabuhan Bula
</t>
    </r>
    <r>
      <rPr>
        <sz val="11"/>
        <color theme="1"/>
        <rFont val="Arial"/>
      </rPr>
      <t xml:space="preserve">Rehabilitasi Sisi Darat Pelabuhan Laut Bula
</t>
    </r>
  </si>
  <si>
    <t>cv. ravzah mandiri</t>
  </si>
  <si>
    <t>26 Januari 2022</t>
  </si>
  <si>
    <t>Rehabilitasi Pembangunan Faspel Kobisadar</t>
  </si>
  <si>
    <t>CV. Lulu Utama</t>
  </si>
  <si>
    <t>Pembangunan Fasilitas Darat dan Penggantian Fender Pelabuhan Wahai</t>
  </si>
  <si>
    <t>Replace Fasilitas Pelabuhan Laut Bula</t>
  </si>
  <si>
    <t>18 Februari-12 November 2022</t>
  </si>
  <si>
    <t>Unit Penyelenggara Pelabuhan Kelas III Wonreli</t>
  </si>
  <si>
    <t>PS.004/3/24/ITJEN/2023</t>
  </si>
  <si>
    <t>Pengembangan Fasilitas Pelabuhan Moa TA. 2023</t>
  </si>
  <si>
    <t>PT.Ibnu Munsyir Dwiguna</t>
  </si>
  <si>
    <t>Desember-Januari 2023</t>
  </si>
  <si>
    <t>Solar Cell - PT. Wijaya Sentral Internasional (Sidoarjo)</t>
  </si>
  <si>
    <t>Konstruksi Rehabilitasi Fasilitas Darat Pelabuhan Ilwaki TA. 2021</t>
  </si>
  <si>
    <t>CV. MULIA KARYA PERSADA</t>
  </si>
  <si>
    <t>1 Juli 2021-31 Desember 2021</t>
  </si>
  <si>
    <t>Pembangunan Fasilitas Pelabuhan Laut Arwala</t>
  </si>
  <si>
    <t>PT. Pilar Dasar Membangun</t>
  </si>
  <si>
    <t>25 November 2020 - 31 Desember 2021</t>
  </si>
  <si>
    <t>Perkuatan Fasilitas Pelabuhan Moa</t>
  </si>
  <si>
    <t>PT SUATRI</t>
  </si>
  <si>
    <t>7 Oktober 2020 - 14 Juni 2021</t>
  </si>
  <si>
    <t>Unit Penyelenggara Pelabuhan Kelas III Seba</t>
  </si>
  <si>
    <t>PS.004/3/21/ITJEN/2023</t>
  </si>
  <si>
    <t>Lanjutan Pengembangan Fasilitas Pelabuhan Raijua</t>
  </si>
  <si>
    <t>PT.KURNIAWAN ANDALAN TIMUR INDONESIA</t>
  </si>
  <si>
    <t>Januari-Maret 2023</t>
  </si>
  <si>
    <t>Tiang Pancang - PT Swarna Bajapacific (Jakarta)
Fender dan Bollard - PT Samudera Luas Paramacitra (Cirebon)
Composite Wrapping - PT. Perkasa Maritim Utama (Bekasi)</t>
  </si>
  <si>
    <t>Rehabilitasi Fasilitas Pelabuhan laut Seba</t>
  </si>
  <si>
    <t>PT. Wijaya Inti Nusa Sentosa</t>
  </si>
  <si>
    <t>Besi Beton &amp; Semen - CV. Sumber Bangun Perkasa Jaya (Jawa Tengah)
Bitt Bollard &amp; Fender - CV. Mulya Jaya Rubber (Depok)
Composite Wrapping - PT. TAM VICTORY CEMERLANG (Bekasi)
Lampu Solar Cell 1 - PT. Berkat Energi Sollusindo ( Jawa Timur)
Lampu Solar Cell 2 - PT. CIPTA PIMRMINDO ABADI (Jakarta)
Pasir Kerikil Split - PT. VARIA USAHA BETON (Sidoarjo)</t>
  </si>
  <si>
    <t xml:space="preserve">Distrik Navigasi Kelas I Tanjung Pinang
</t>
  </si>
  <si>
    <t>PS.004/3/13/ITJEN/2023</t>
  </si>
  <si>
    <t>Pembangunan Menara Suar Karang Singa</t>
  </si>
  <si>
    <t>Maret 2023</t>
  </si>
  <si>
    <t>Pipa Besi - PT. Sincom Primalindo (Batam)
Panel Steel Coating - PT. Floaton Bahari Indonesia (Jakarta)
Bepmix k-400 - PT, BETON ELEMENINDO PERKASA (Bandung)
Karet Kompon - PT. Samudera Luas Paramacitra (Cirebon)
Solar Panel - PT. Indonesia Solar Global (Jakarta)</t>
  </si>
  <si>
    <t xml:space="preserve">Kesyahbandaran Dan Otoritas Pelabuhan Kelas II Benoa
</t>
  </si>
  <si>
    <t>PS.004/3/16/ITJEN/2023</t>
  </si>
  <si>
    <t xml:space="preserve">Kontruksi Terintegrasi Rancang Bangun (Design and Build) Pembangunan Fasilitas Pelabuhan laut Sanur Multiyear Contract (MYC) TA. 2020-2023
</t>
  </si>
  <si>
    <t>Hutama Bangun Virama, KSO</t>
  </si>
  <si>
    <t>September - November 2020</t>
  </si>
  <si>
    <t>Distrik Navigasi Kelas II Kupang</t>
  </si>
  <si>
    <t>PS.004/3/14/ITJEN/2023</t>
  </si>
  <si>
    <t>Replacement Menara Suar Tanjung Ligeta dan Replacement Rambu Pelabuhan Raijua</t>
  </si>
  <si>
    <t>PT. LAWU JAYA</t>
  </si>
  <si>
    <t>Februari- Maret 2023</t>
  </si>
  <si>
    <t>Pembangunan Rambu Pelabuhan Pulau Padar dan Pembangunan Rambu Pelabuhan Pulau Rinca</t>
  </si>
  <si>
    <t>CV.CITRA CELEBES MANDIRI</t>
  </si>
  <si>
    <t>Maret-April 2023</t>
  </si>
  <si>
    <t>Unit Penyelenggara Pelabuhan Kelas III Sirombu</t>
  </si>
  <si>
    <t>PS.004/3/12/ITJEN/2023</t>
  </si>
  <si>
    <t>Rehabilitasi Fasilitas Penunjang Pelabuhan</t>
  </si>
  <si>
    <t>CV. BUMI MAKMUR</t>
  </si>
  <si>
    <t>April - Juni 2022</t>
  </si>
  <si>
    <t>Pekerjaan Breakwater</t>
  </si>
  <si>
    <t>PT. DAMBHA PRIMA UTAMA</t>
  </si>
  <si>
    <t>Juni 2023</t>
  </si>
  <si>
    <t>Unit Penyelenggara Pelabuhan Kelas III Jailolo</t>
  </si>
  <si>
    <t>PS.004/2/23/ITJEN/2023</t>
  </si>
  <si>
    <t>Pembangunan Gedung Kantor UPP Jailolo</t>
  </si>
  <si>
    <t>CV Akbar Jaya Membangun</t>
  </si>
  <si>
    <t>Desember 2022</t>
  </si>
  <si>
    <t>Pembangunan Kanopi Areal Pelabuhan Jailolo</t>
  </si>
  <si>
    <t>Februari- Maret 2021</t>
  </si>
  <si>
    <t>Pengembangan Fasilitas Laut Pelabuhan Matui</t>
  </si>
  <si>
    <t>PT. KARYA PEMBANGUNAN REZKI</t>
  </si>
  <si>
    <t>Januari-Februari 2023</t>
  </si>
  <si>
    <t>Batu Pecah - PT. Bukit Intan Lestari (Palu)
Fender, Bollar, Composite Wrapping - PT. Perkasa Maritim Utama (Bekasi)
Tiang Pancang - PT. SPINDO, Tbk (Jawa Timur)</t>
  </si>
  <si>
    <t>Pengembangan Fasilitas Laut Pelabuhan Jailolo</t>
  </si>
  <si>
    <t>Rehabilitasi Talud dan Solar Cell Wilker Pelabuhan Matui</t>
  </si>
  <si>
    <t>CV. NANDA PRIMA</t>
  </si>
  <si>
    <t>Mei 2019</t>
  </si>
  <si>
    <t>Unit Penyelenggara Pelabuhan Kelas II Soasio</t>
  </si>
  <si>
    <t>PS.004/3/4/ITJEN/2023</t>
  </si>
  <si>
    <t>Perbaikan Pelabuhan Laut Soasio</t>
  </si>
  <si>
    <t>CV. BANGUN UTAMA</t>
  </si>
  <si>
    <t>Maret 2020</t>
  </si>
  <si>
    <t>Pengembangan Fasilitas Pelabuhan Soasio</t>
  </si>
  <si>
    <t>PILAR ATMOKO KONSTRUKSI</t>
  </si>
  <si>
    <t>Besi Beton - CV. Sumber Bangun Perkasa Jaya (Jawa Tengah)
Composite Wrapping - PT. TAM Victory Cemerlang (Bekasi)
Fender - CV. Mulya Jaya Rubber (Depok)
Lampu Solar Cell - PT. Berkat Energi Sollusindo (Jawa Timur)
Lampu Solar Cell - PT. Cipta Pimrmindo Abadi (Jakarta)
Pasir Kerikil split - PT. Varia Usaha Beton (Sidoarjo)
Semen - CV. Sumber Bangun Perkasa Jaya (Jawa Tengah)
Surduk Composite Wrapping - PT. TAM Victory Cemerlang (Bekasi)
Tiang Pancang - PT SPINDO, Tbk (Jawa Timur)</t>
  </si>
  <si>
    <t>Penyelesaian Pembangunan Dermaga Speed Boat Sofifi</t>
  </si>
  <si>
    <t>PT. PERMATA PERMAI JAYA</t>
  </si>
  <si>
    <t>Januari - Februari 2017</t>
  </si>
  <si>
    <t>Pembukaan Penawaran tidak diperbolehkan</t>
  </si>
  <si>
    <t>Replace Fender Type 300 H 2000L Faspel Gita</t>
  </si>
  <si>
    <t>CV. ARINA TEKNIK</t>
  </si>
  <si>
    <t>Replace Fender Type 300 H 2000L Faspel Goto</t>
  </si>
  <si>
    <t>CV.NURIRA SEJAHTERA</t>
  </si>
  <si>
    <t>Pengembangan Fasilitas Pelabuhan laut Goto</t>
  </si>
  <si>
    <t>CV. ODIN UTAMA</t>
  </si>
  <si>
    <t>Maret - April 2018</t>
  </si>
  <si>
    <t>Replacement Kantor UPP Soasio</t>
  </si>
  <si>
    <t>Replacement Rumah Dinas KUPP Soasio</t>
  </si>
  <si>
    <t>CV. BUKUSU PUTRA JAYAKUSUMA</t>
  </si>
  <si>
    <t>Docking Kapal KN P. 375</t>
  </si>
  <si>
    <t>CV HIKMAH</t>
  </si>
  <si>
    <t>Maret - April 2020</t>
  </si>
  <si>
    <t>Unit Penyelenggara Pelabuhan Kelas II Babang</t>
  </si>
  <si>
    <t>PS.004/2/25/ITJEN/2023</t>
  </si>
  <si>
    <t>Pembangunan Fasilitas Pelabuhan Laut Munse MYC. TA. 2022-2023</t>
  </si>
  <si>
    <t>PT. RUDY JAYA</t>
  </si>
  <si>
    <t>Juni - Juli 2023</t>
  </si>
  <si>
    <t xml:space="preserve">tiang Pancang - PT Swarna Bajapacific (Jakarta Barat)
Woven Geotextile - PT. Catrabuana Geoteknik Mandiri (Jakarta Barat)
Bollard Fender - PT. Sekar Wangi Group (Sidoarjo)
Batu Belah dan Timbunan Tanah - La Dinama (Sulawesi Tenggara)
</t>
  </si>
  <si>
    <t>BANDAR UDARA JALALUDIN DI GORONTALO</t>
  </si>
  <si>
    <t>PS.005/2/15/ITJEN/2023</t>
  </si>
  <si>
    <t>Pekerjaan Lanjutan Permukaan Runway, Taxiway, Apron dan Stopway Termasuk Marking</t>
  </si>
  <si>
    <t>PT. CITRA MUTIARA BANGUN PERSADA</t>
  </si>
  <si>
    <t xml:space="preserve">Y </t>
  </si>
  <si>
    <t>Desember 22-Januari23</t>
  </si>
  <si>
    <t xml:space="preserve"> T</t>
  </si>
  <si>
    <t xml:space="preserve">PT. Berkah Bangun Mulia, (Surabaya)
PT. Cahaya Mandiri Perkasa (Gorotalo)
PT. Satria Sarana Serasi (Sidoarjo)
PT. Utama Pagar Indonesia (Surabaya)
PT. Hasta Adiraya (Jakarta Utara)
</t>
  </si>
  <si>
    <t>UP Bandar Udara Rokot</t>
  </si>
  <si>
    <t>PS.005/2/8/ITJEN/2023</t>
  </si>
  <si>
    <t>Pekerjaan Fasilitas Sisi Udara Pembangunan Bandar Udara Mentawai Baru</t>
  </si>
  <si>
    <t>PT ADHI KARYA (Persero) Tbk</t>
  </si>
  <si>
    <t>2020 s.d. 31 Des 2023</t>
  </si>
  <si>
    <t xml:space="preserve">PT. Hasta Adiraya (Jakarta Utara)
CV. Mega Engineering, Padang (Sumatera Barat)
</t>
  </si>
  <si>
    <t>UP Bandar Udara Aji Pangeran Tumenggung Pranoto</t>
  </si>
  <si>
    <t>PS.005/3/5/ITJEN/2022</t>
  </si>
  <si>
    <t>PEKERJAAN REKONSTRUKSI TAXIWAY A BANDAR UDARA APT.PRANOTO (MYC) TENDER TIDAK MENGIKAT</t>
  </si>
  <si>
    <t>Maret-Mei</t>
  </si>
  <si>
    <t xml:space="preserve">PT. WIKA Beton Tbk, Balikpapan (Kalimantan Timur)
</t>
  </si>
  <si>
    <t>UP Bandar Udara Tanjung Harapan</t>
  </si>
  <si>
    <t>PS.005/2/8/ITJEN/2022</t>
  </si>
  <si>
    <t>Pembuatan bangunan operasional (2 unit)</t>
  </si>
  <si>
    <t>CV. VACELINDO UTAMA</t>
  </si>
  <si>
    <t>9 April-5 September 2019</t>
  </si>
  <si>
    <t>Data Apendo Kosong</t>
  </si>
  <si>
    <t xml:space="preserve"> UPBU KELAS III DEWADARU</t>
  </si>
  <si>
    <t>PS.005/2/23/ITJEN/2023</t>
  </si>
  <si>
    <t>Pembuatan dan Instalasi Ground Tank PKP-PK ( 30 m3) dan pengadaan pompa beserta jaringannya</t>
  </si>
  <si>
    <t>PT. GRIYA BUANA NARATAMA</t>
  </si>
  <si>
    <t>Jul - Des 2023</t>
  </si>
  <si>
    <t>Angkutan Udara Perintis 04 Rute</t>
  </si>
  <si>
    <t>PT. ASI Pudjiastuti Aviation</t>
  </si>
  <si>
    <t>Jan - Des 2023</t>
  </si>
  <si>
    <t>UPBU Long Apung</t>
  </si>
  <si>
    <t>39/LHA/IT.IV/XI/2023</t>
  </si>
  <si>
    <t>Pengembangan Fasilitas Sisi Udara Bandar Udara Long Apung (Tender Tidak Mengikat)</t>
  </si>
  <si>
    <t>PT. LAMBOK ULINA</t>
  </si>
  <si>
    <t>PT. Berkah Mulia Mandiri (Surabaya)
PT. Bosowa Tambang Indonesia (Makassar)
PT. Miranila Abadi (Jakarta)</t>
  </si>
  <si>
    <t>UPBU Arung Palakka</t>
  </si>
  <si>
    <t>PS.005/2/13/ITJEN/2023</t>
  </si>
  <si>
    <t>Pengembangan Bandar Udara Arung Palakka (Prasarana Sisi Udara)</t>
  </si>
  <si>
    <t>PT. MITRA AGUNG
INDONESIA</t>
  </si>
  <si>
    <t>Feb - Des 2023</t>
  </si>
  <si>
    <t>CV. Mulia Makmur (Surabaya)
PT. Sinar Jaya Abadi Perkasa Utama (Jakarta)
PT. Jongkang Indonesia (Serang)
PT. Sidokumpul Raya (Gresik)
PT. Makmur Jaya Niaga (Makassar)
PT. Hasta Adhiraya (Jakarta)</t>
  </si>
  <si>
    <t>UPBU Jalaluddin</t>
  </si>
  <si>
    <t>Rehab Terminal Lama Menjadi Terminal Kargo</t>
  </si>
  <si>
    <t>CV. SULTAN PERKASA</t>
  </si>
  <si>
    <t>Mar - Nov 2023</t>
  </si>
  <si>
    <t>UPBU Tampa Padang</t>
  </si>
  <si>
    <t>35/LHA/IT.IV/X/2023</t>
  </si>
  <si>
    <t>Pekerjaan Lanjutan Pembangunan Kawasan Sisi Darat Jalan Akses Termasuk Pagar Pengaman</t>
  </si>
  <si>
    <t>PT. APHASKO UTAMAJAYA</t>
  </si>
  <si>
    <t>Mar 2023 - Jan 2024</t>
  </si>
  <si>
    <t>PT. Bumi Sarana Utama (Makassar)
PT. Passokorang (Makassar)</t>
  </si>
  <si>
    <t>UPBU Beto Ambari</t>
  </si>
  <si>
    <t>PS.005/2/14/ITJEN/2023</t>
  </si>
  <si>
    <t>Pekerjaan Pelapisan Runway dan Turning Termasuk Marking</t>
  </si>
  <si>
    <t>PT. GARUNGGA CIPTA PRATAMA</t>
  </si>
  <si>
    <t>UP Bandar Udara Ewer</t>
  </si>
  <si>
    <t>PS.005/1/23/ITJEN/2023</t>
  </si>
  <si>
    <t>Pembuatan Drainase dan Tanggul Penahan Banjir (Lelang Tidak Mengikat)</t>
  </si>
  <si>
    <t>PT. WASKITA JAYA PURNAMA</t>
  </si>
  <si>
    <t>14 Des - 27 Des 22</t>
  </si>
  <si>
    <t xml:space="preserve">PT. Geolexa Acuan Sejahtera (Jakarta)
PT. Sumber Karya Anugerah (Ambon)
PT. Calvery Abadi (Mojokerto)
PD. Saung Awilagar (Bandung)
PT. Air Samudera Raya (Surabaya)
PT. Bach Multi Global (Jakarta)
CV. Batu Seram Jaya (Maluku)
</t>
  </si>
  <si>
    <t>UP Bandar Udara Pogogul</t>
  </si>
  <si>
    <t>PS.005/2/12/ITJEN/2023</t>
  </si>
  <si>
    <t>Pekerjaan Konstruksi Penpanjangan Landas Pacu</t>
  </si>
  <si>
    <t>PT. MITRA AGUNG INDONESIA</t>
  </si>
  <si>
    <t>16 Jan - 31 Des 2023</t>
  </si>
  <si>
    <t>Tidak ada pendukung</t>
  </si>
  <si>
    <t>Pekerjaan fasilitas Sisi Darat</t>
  </si>
  <si>
    <t>PT. AGUNG KUSUMA</t>
  </si>
  <si>
    <t>17 Feb - 31 Des 2023</t>
  </si>
  <si>
    <t>PT. Tjakrindo Mas (Gresik Jawa Timur)
PT. Pratama Steel Jakarta (Jakarta Pusat)
PT. Marksindo Sukses Jaya (Tangerang)
PT. Hasta Adiraya (Jakarta Utara)
PT. Anugerah Putrajaya (Jakarta Utara)
PT. Soliton Intak Sinergi (Tangeran)
PT. Bach Multi Global (Jakarta Pusat)
PT. Generindo Cengkareng (Jakarta Barat)
PT. Eratek Prima Indonesia, Grogol (Jakarta Barat)
CV. Dsytem Integrator (Jakarta Utara</t>
  </si>
  <si>
    <t>UP Bandar Udara Cakrabhuana</t>
  </si>
  <si>
    <t>PS.005/2/15/ITJEN/2022</t>
  </si>
  <si>
    <t>Pengadaan dan Pemasangan AFL System (tender tidak mengikat)</t>
  </si>
  <si>
    <t>PT. BONA DUPANG SOALOON</t>
  </si>
  <si>
    <t>11 Sept-24 Sept 2019</t>
  </si>
  <si>
    <t xml:space="preserve">PT. Hasta Adhiraya (Jakarta Utara)
</t>
  </si>
  <si>
    <t>UP Bandar Udara Juwata</t>
  </si>
  <si>
    <t>PS.005/2/12/II/ITJEN-2020</t>
  </si>
  <si>
    <t>CV. ADITYA PERSADA</t>
  </si>
  <si>
    <t>2 Mei -23 Mei 19</t>
  </si>
  <si>
    <t>Perluasan dan Penataan Gedung Kargo</t>
  </si>
  <si>
    <t>PT. SOMBA HASBO</t>
  </si>
  <si>
    <t>11 Feb - 1 Maret 19</t>
  </si>
  <si>
    <t>Perluasan ruang tunggu penumpang</t>
  </si>
  <si>
    <t>PT. Gemah Lumbung Jaya Abadi</t>
  </si>
  <si>
    <t>12 Maret - 27 Maret 19</t>
  </si>
  <si>
    <t>Pengadaan dan pemasangan pagar pengaman sisi udara dengan wiremesh tinggi rata-rata 2,44 meter</t>
  </si>
  <si>
    <t>PT. ELIA MERCURE</t>
  </si>
  <si>
    <t>22 Mei - 27 Juni 19</t>
  </si>
  <si>
    <t>UP Bandar Udara Syukuran Aminudin Amir</t>
  </si>
  <si>
    <t>PS.005/2/11/ITJEN/2023</t>
  </si>
  <si>
    <t>Pembangunan Bandar Udara Baru Banggai Laut Sulawesi Tengah MYC (Multi Years Contrack) TA 2022-TA 2023</t>
  </si>
  <si>
    <t>PT. Wijaya Karya (Persero) Tbk.</t>
  </si>
  <si>
    <t>15 Des 2022 s.d. 31 Des 2023</t>
  </si>
  <si>
    <t>data kosong</t>
  </si>
  <si>
    <t>Manajemen Konstruksi Pembangunan Bandar Udara Baru Banggai Laut - Sulawesi Tengah (Tender Tidak Mengikat)</t>
  </si>
  <si>
    <t>PT. KANTA KARYA UTAMA</t>
  </si>
  <si>
    <t>16 Des 2022 s.d. 31 Des 2023</t>
  </si>
  <si>
    <t>UP Bandar Udara Naha</t>
  </si>
  <si>
    <t>PS.005/2/10/ITJEN/2023</t>
  </si>
  <si>
    <t>Pekerjaan Konstruksi Perkerasan Sisi Udara dan Sisi Darat</t>
  </si>
  <si>
    <t>PT. KARUNIA JAYA SEJATI</t>
  </si>
  <si>
    <t>25 Jul 2022 s.d. 29 Des 2023</t>
  </si>
  <si>
    <t>PT. Anugerah Wijayatrisna (Jakarta Utara)
PT. Geolexa Acuan Sejahtera (Jakarta Barat)
PT. Asphalt Bangun Sarana (Jakarta Selatan)</t>
  </si>
  <si>
    <t>UP Bandar Udara Aek Godang</t>
  </si>
  <si>
    <t>PS.005/2/9/ITJEN/2023</t>
  </si>
  <si>
    <t>Pekerjaan Fasilitas Sisi Udara Bandar Udara Mandailing Natal</t>
  </si>
  <si>
    <t>PT. MODERN WIDYA TEHNICAL</t>
  </si>
  <si>
    <t>Pekerjaan Fasilitas Sisi Darat Bandar Udara Mandailing Natal</t>
  </si>
  <si>
    <t>PT. WASKITA KARYA (Persero) Tbk</t>
  </si>
  <si>
    <t>14 Des 2022 s.d. 31 Des 2023</t>
  </si>
  <si>
    <t>UP Bandar Udara Rendani</t>
  </si>
  <si>
    <t>PS.005/2/1/ITJEN/2023</t>
  </si>
  <si>
    <t>PT. AKAM</t>
  </si>
  <si>
    <t>12 Jul 2022 s.d. 31 Des 2023</t>
  </si>
  <si>
    <t>Pekerjaan Pembuatan Runway Strip dan RESA</t>
  </si>
  <si>
    <t>PT. Agro Bio Organik</t>
  </si>
  <si>
    <t>17 Mei 2022 s.d. 7 nov 2023</t>
  </si>
  <si>
    <t>PT. Geolexa Acuan Sejahtera (Jakarta Barat)
PT. Utama Pagar Indonesia (Surabaya)
PT. Prima Mulya Malasoom (Sorong)
PT. Jaya Beton Indonesia (Gresik)
PT. Beton Elemenindo Perkasa (Pasuruan)</t>
  </si>
  <si>
    <t>UP Bandar Udara Mopah</t>
  </si>
  <si>
    <t>PS.005/1/20/ITJEN/2023</t>
  </si>
  <si>
    <t>Pengawasan Perbaikan dan Peningkatan Daya Dukung Runway Termasuk Marking</t>
  </si>
  <si>
    <t>PT. INTIREKA KARSA PAMURTYA</t>
  </si>
  <si>
    <t>24 Feb s.d. 20 Nov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</si>
</sst>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16">
    <font>
      <sz val="11"/>
      <color theme="1"/>
      <name val="Aptos Narrow"/>
      <scheme val="minor"/>
    </font>
    <font>
      <sz val="11"/>
      <color theme="1"/>
      <name val="Aptos Narrow"/>
      <scheme val="minor"/>
    </font>
    <font>
      <sz val="11"/>
      <color theme="1"/>
      <name val="Aptos Narrow"/>
    </font>
    <font>
      <b/>
      <sz val="13"/>
      <color theme="1"/>
      <name val="Arial"/>
    </font>
    <font>
      <b/>
      <sz val="11"/>
      <color theme="1"/>
      <name val="Aptos Narrow"/>
    </font>
    <font>
      <b/>
      <sz val="16"/>
      <color rgb="FFFF0000"/>
      <name val="Aptos Narrow"/>
    </font>
    <font>
      <sz val="11"/>
      <color theme="1"/>
      <name val="Calibri"/>
    </font>
    <font>
      <sz val="11"/>
      <color theme="1"/>
      <name val="Arial"/>
    </font>
    <font>
      <sz val="16"/>
      <color rgb="FFFF0000"/>
      <name val="Aptos Narrow"/>
    </font>
    <font>
      <sz val="16"/>
      <color rgb="FFFF0000"/>
      <name val="Arial"/>
    </font>
    <font>
      <sz val="9"/>
      <color theme="1"/>
      <name val="Helvetica Neue"/>
    </font>
    <font>
      <sz val="9"/>
      <color theme="1"/>
      <name val="Aptos Narrow"/>
    </font>
    <font>
      <i/>
      <sz val="11"/>
      <color theme="1"/>
      <name val="Calibri"/>
    </font>
    <font>
      <sz val="9"/>
      <color theme="1"/>
      <name val="Arial"/>
    </font>
    <font>
      <sz val="8"/>
      <color theme="1"/>
      <name val="Helvetica Neue"/>
    </font>
    <font>
      <strike/>
      <sz val="11"/>
      <color theme="1"/>
      <name val="Arial"/>
    </font>
  </fonts>
  <fills count="12">
    <fill>
      <patternFill patternType="none"/>
    </fill>
    <fill>
      <patternFill patternType="gray125"/>
    </fill>
    <fill>
      <patternFill patternType="solid">
        <fgColor rgb="FFF1CEEE"/>
        <bgColor rgb="FFF1CEEE"/>
      </patternFill>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FFFFFF"/>
        <bgColor rgb="FFFFFFFF"/>
      </patternFill>
    </fill>
    <fill>
      <patternFill patternType="solid">
        <fgColor rgb="FFEAD1DC"/>
        <bgColor rgb="FFEAD1DC"/>
      </patternFill>
    </fill>
    <fill>
      <patternFill patternType="solid">
        <fgColor theme="0"/>
        <bgColor theme="0"/>
      </patternFill>
    </fill>
    <fill>
      <patternFill patternType="solid">
        <fgColor rgb="FF00B050"/>
        <bgColor indexed="64"/>
      </patternFill>
    </fill>
    <fill>
      <patternFill patternType="solid">
        <fgColor rgb="FF00B050"/>
        <bgColor theme="6"/>
      </patternFill>
    </fill>
    <fill>
      <patternFill patternType="solid">
        <fgColor rgb="FF00B050"/>
        <bgColor rgb="FFFFFF00"/>
      </patternFill>
    </fill>
  </fills>
  <borders count="1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87">
    <xf numFmtId="0" fontId="0" fillId="0" borderId="0" xfId="0"/>
    <xf numFmtId="0" fontId="1" fillId="0" borderId="0" xfId="0" applyFont="1"/>
    <xf numFmtId="0" fontId="2" fillId="0" borderId="0" xfId="0" applyFont="1"/>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2" borderId="3"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5" borderId="3" xfId="0" applyFont="1" applyFill="1" applyBorder="1" applyAlignment="1">
      <alignment horizontal="center" vertical="top" wrapText="1"/>
    </xf>
    <xf numFmtId="0" fontId="2" fillId="0" borderId="0" xfId="0" applyFont="1" applyAlignment="1">
      <alignment vertical="top"/>
    </xf>
    <xf numFmtId="0" fontId="6" fillId="0" borderId="5" xfId="0" applyFont="1" applyBorder="1" applyAlignment="1">
      <alignment vertical="top" wrapText="1"/>
    </xf>
    <xf numFmtId="0" fontId="6" fillId="0" borderId="6" xfId="0" applyFont="1" applyBorder="1" applyAlignment="1">
      <alignment horizontal="right" vertical="top"/>
    </xf>
    <xf numFmtId="0" fontId="6" fillId="6" borderId="6" xfId="0" applyFont="1" applyFill="1" applyBorder="1" applyAlignment="1">
      <alignment vertical="top"/>
    </xf>
    <xf numFmtId="0" fontId="6" fillId="0" borderId="6" xfId="0" applyFont="1" applyBorder="1" applyAlignment="1">
      <alignment vertical="top" wrapText="1"/>
    </xf>
    <xf numFmtId="0" fontId="2" fillId="2" borderId="6" xfId="0" applyFont="1" applyFill="1" applyBorder="1" applyAlignment="1">
      <alignment horizontal="center" vertical="top" wrapText="1"/>
    </xf>
    <xf numFmtId="43" fontId="2" fillId="0" borderId="6" xfId="0" applyNumberFormat="1" applyFont="1" applyBorder="1" applyAlignment="1">
      <alignment horizontal="right" vertical="top"/>
    </xf>
    <xf numFmtId="0" fontId="2" fillId="0" borderId="6" xfId="0" applyFont="1" applyBorder="1" applyAlignment="1">
      <alignment horizontal="center" vertical="top" wrapText="1"/>
    </xf>
    <xf numFmtId="0" fontId="2" fillId="0" borderId="6" xfId="0" applyFont="1" applyBorder="1" applyAlignment="1">
      <alignment horizontal="center" vertical="top"/>
    </xf>
    <xf numFmtId="0" fontId="7" fillId="0" borderId="6" xfId="0" applyFont="1" applyBorder="1" applyAlignment="1">
      <alignment horizontal="center" vertical="top"/>
    </xf>
    <xf numFmtId="0" fontId="2" fillId="0" borderId="6" xfId="0" applyFont="1" applyBorder="1" applyAlignment="1">
      <alignment vertical="top" wrapText="1"/>
    </xf>
    <xf numFmtId="2" fontId="2" fillId="0" borderId="6" xfId="0" applyNumberFormat="1" applyFont="1" applyBorder="1" applyAlignment="1">
      <alignment vertical="top" wrapText="1"/>
    </xf>
    <xf numFmtId="0" fontId="8" fillId="0" borderId="7" xfId="0" applyFont="1" applyBorder="1" applyAlignment="1">
      <alignment vertical="top"/>
    </xf>
    <xf numFmtId="0" fontId="2" fillId="2" borderId="6" xfId="0" applyFont="1" applyFill="1" applyBorder="1" applyAlignment="1">
      <alignment vertical="top" wrapText="1"/>
    </xf>
    <xf numFmtId="0" fontId="2" fillId="0" borderId="6" xfId="0" applyFont="1" applyBorder="1" applyAlignment="1">
      <alignment vertical="top"/>
    </xf>
    <xf numFmtId="0" fontId="6" fillId="0" borderId="6" xfId="0" applyFont="1" applyBorder="1" applyAlignment="1">
      <alignment vertical="top"/>
    </xf>
    <xf numFmtId="0" fontId="6" fillId="0" borderId="6" xfId="0" applyFont="1" applyBorder="1" applyAlignment="1">
      <alignment horizontal="right" vertical="top" wrapText="1"/>
    </xf>
    <xf numFmtId="0" fontId="6" fillId="6" borderId="8" xfId="0" applyFont="1" applyFill="1" applyBorder="1" applyAlignment="1">
      <alignment vertical="top" wrapText="1"/>
    </xf>
    <xf numFmtId="0" fontId="2" fillId="0" borderId="6" xfId="0" quotePrefix="1" applyFont="1" applyBorder="1" applyAlignment="1">
      <alignment vertical="top" wrapText="1"/>
    </xf>
    <xf numFmtId="0" fontId="9" fillId="0" borderId="7" xfId="0" applyFont="1" applyBorder="1" applyAlignment="1">
      <alignment vertical="top"/>
    </xf>
    <xf numFmtId="0" fontId="2" fillId="0" borderId="5" xfId="0" applyFont="1" applyBorder="1" applyAlignment="1">
      <alignment vertical="top" wrapText="1"/>
    </xf>
    <xf numFmtId="0" fontId="7" fillId="2" borderId="6" xfId="0" applyFont="1" applyFill="1" applyBorder="1" applyAlignment="1">
      <alignment vertical="top" wrapText="1"/>
    </xf>
    <xf numFmtId="0" fontId="2" fillId="0" borderId="6" xfId="0" applyFont="1" applyBorder="1" applyAlignment="1">
      <alignment horizontal="left" vertical="top" wrapText="1"/>
    </xf>
    <xf numFmtId="0" fontId="2" fillId="7" borderId="6" xfId="0" applyFont="1" applyFill="1" applyBorder="1" applyAlignment="1">
      <alignment horizontal="center" vertical="top" wrapText="1"/>
    </xf>
    <xf numFmtId="0" fontId="2"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2" borderId="6" xfId="0" applyFont="1" applyFill="1" applyBorder="1" applyAlignment="1">
      <alignment horizontal="center" vertical="top" wrapText="1"/>
    </xf>
    <xf numFmtId="0" fontId="7" fillId="2" borderId="6" xfId="0" applyFont="1" applyFill="1" applyBorder="1" applyAlignment="1">
      <alignment horizontal="center" vertical="top"/>
    </xf>
    <xf numFmtId="43" fontId="7" fillId="0" borderId="6" xfId="0" applyNumberFormat="1" applyFont="1" applyBorder="1" applyAlignment="1">
      <alignment horizontal="right" vertical="top"/>
    </xf>
    <xf numFmtId="0" fontId="10" fillId="6" borderId="6" xfId="0" applyFont="1" applyFill="1" applyBorder="1" applyAlignment="1">
      <alignment vertical="top"/>
    </xf>
    <xf numFmtId="0" fontId="2" fillId="2" borderId="6" xfId="0" applyFont="1" applyFill="1" applyBorder="1" applyAlignment="1">
      <alignment horizontal="center" vertical="top"/>
    </xf>
    <xf numFmtId="43" fontId="2" fillId="0" borderId="6" xfId="0" applyNumberFormat="1" applyFont="1" applyBorder="1" applyAlignment="1">
      <alignment horizontal="right" vertical="top" wrapText="1"/>
    </xf>
    <xf numFmtId="43" fontId="2" fillId="6" borderId="6" xfId="0" applyNumberFormat="1" applyFont="1" applyFill="1" applyBorder="1" applyAlignment="1">
      <alignment horizontal="right" vertical="top"/>
    </xf>
    <xf numFmtId="0" fontId="11" fillId="0" borderId="6" xfId="0" applyFont="1" applyBorder="1" applyAlignment="1">
      <alignment horizontal="center" vertical="top" wrapText="1"/>
    </xf>
    <xf numFmtId="14" fontId="7" fillId="2" borderId="6" xfId="0" applyNumberFormat="1" applyFont="1" applyFill="1" applyBorder="1" applyAlignment="1">
      <alignment horizontal="center" vertical="top" wrapText="1"/>
    </xf>
    <xf numFmtId="0" fontId="6" fillId="0" borderId="6" xfId="0" applyFont="1" applyBorder="1" applyAlignment="1">
      <alignment horizontal="center" vertical="top"/>
    </xf>
    <xf numFmtId="0" fontId="2" fillId="2" borderId="6" xfId="0" applyFont="1" applyFill="1" applyBorder="1" applyAlignment="1">
      <alignment vertical="top"/>
    </xf>
    <xf numFmtId="0" fontId="11" fillId="0" borderId="6" xfId="0" applyFont="1" applyBorder="1" applyAlignment="1">
      <alignment vertical="top" wrapText="1"/>
    </xf>
    <xf numFmtId="0" fontId="12" fillId="0" borderId="6" xfId="0" applyFont="1" applyBorder="1" applyAlignment="1">
      <alignment vertical="top" wrapText="1"/>
    </xf>
    <xf numFmtId="0" fontId="6" fillId="8" borderId="8" xfId="0" applyFont="1" applyFill="1" applyBorder="1" applyAlignment="1">
      <alignment vertical="top" wrapText="1"/>
    </xf>
    <xf numFmtId="0" fontId="6" fillId="8" borderId="6" xfId="0" applyFont="1" applyFill="1" applyBorder="1" applyAlignment="1">
      <alignment horizontal="center" vertical="top"/>
    </xf>
    <xf numFmtId="0" fontId="6" fillId="8" borderId="6" xfId="0" applyFont="1" applyFill="1" applyBorder="1" applyAlignment="1">
      <alignment vertical="top" wrapText="1"/>
    </xf>
    <xf numFmtId="43" fontId="2" fillId="8" borderId="6" xfId="0" applyNumberFormat="1" applyFont="1" applyFill="1" applyBorder="1" applyAlignment="1">
      <alignment horizontal="right" vertical="top"/>
    </xf>
    <xf numFmtId="43" fontId="2" fillId="8" borderId="6" xfId="0" applyNumberFormat="1" applyFont="1" applyFill="1" applyBorder="1" applyAlignment="1">
      <alignment horizontal="right" vertical="top" wrapText="1"/>
    </xf>
    <xf numFmtId="0" fontId="2" fillId="8" borderId="6" xfId="0" applyFont="1" applyFill="1" applyBorder="1" applyAlignment="1">
      <alignment vertical="top"/>
    </xf>
    <xf numFmtId="0" fontId="7" fillId="8" borderId="6" xfId="0" applyFont="1" applyFill="1" applyBorder="1" applyAlignment="1">
      <alignment horizontal="center" vertical="top"/>
    </xf>
    <xf numFmtId="0" fontId="11" fillId="8" borderId="6" xfId="0" applyFont="1" applyFill="1" applyBorder="1" applyAlignment="1">
      <alignment vertical="top" wrapText="1"/>
    </xf>
    <xf numFmtId="0" fontId="2" fillId="7" borderId="6" xfId="0" applyFont="1" applyFill="1" applyBorder="1" applyAlignment="1">
      <alignment vertical="top"/>
    </xf>
    <xf numFmtId="0" fontId="6" fillId="6" borderId="6" xfId="0" applyFont="1" applyFill="1" applyBorder="1" applyAlignment="1">
      <alignment vertical="top" wrapText="1"/>
    </xf>
    <xf numFmtId="0" fontId="10" fillId="6" borderId="8" xfId="0" applyFont="1" applyFill="1" applyBorder="1" applyAlignment="1">
      <alignment horizontal="left" vertical="top" wrapText="1"/>
    </xf>
    <xf numFmtId="0" fontId="10" fillId="6" borderId="6" xfId="0" applyFont="1" applyFill="1" applyBorder="1" applyAlignment="1">
      <alignment horizontal="left" vertical="top" wrapText="1"/>
    </xf>
    <xf numFmtId="0" fontId="13" fillId="6" borderId="6" xfId="0" applyFont="1" applyFill="1" applyBorder="1" applyAlignment="1">
      <alignment vertical="top" wrapText="1"/>
    </xf>
    <xf numFmtId="0" fontId="10" fillId="2" borderId="6" xfId="0" applyFont="1" applyFill="1" applyBorder="1" applyAlignment="1">
      <alignment vertical="top" wrapText="1"/>
    </xf>
    <xf numFmtId="0" fontId="13" fillId="6" borderId="8" xfId="0" applyFont="1" applyFill="1" applyBorder="1" applyAlignment="1">
      <alignment vertical="top" wrapText="1"/>
    </xf>
    <xf numFmtId="0" fontId="13" fillId="6" borderId="6" xfId="0" applyFont="1" applyFill="1" applyBorder="1" applyAlignment="1">
      <alignment horizontal="left" vertical="top" wrapText="1"/>
    </xf>
    <xf numFmtId="0" fontId="14" fillId="6" borderId="6" xfId="0" applyFont="1" applyFill="1" applyBorder="1" applyAlignment="1">
      <alignment vertical="top" wrapText="1"/>
    </xf>
    <xf numFmtId="0" fontId="10" fillId="2" borderId="6" xfId="0" applyFont="1" applyFill="1" applyBorder="1" applyAlignment="1">
      <alignment horizontal="left" vertical="top" wrapText="1"/>
    </xf>
    <xf numFmtId="43" fontId="2" fillId="6" borderId="6" xfId="0" applyNumberFormat="1" applyFont="1" applyFill="1" applyBorder="1" applyAlignment="1">
      <alignment horizontal="right" vertical="top" wrapText="1"/>
    </xf>
    <xf numFmtId="0" fontId="11" fillId="0" borderId="6" xfId="0" applyFont="1" applyBorder="1" applyAlignment="1">
      <alignment horizontal="left" vertical="top" wrapText="1"/>
    </xf>
    <xf numFmtId="0" fontId="7" fillId="0" borderId="6" xfId="0" applyFont="1" applyBorder="1" applyAlignment="1">
      <alignment horizontal="left" vertical="top" wrapText="1"/>
    </xf>
    <xf numFmtId="0" fontId="13" fillId="0" borderId="6" xfId="0" applyFont="1" applyBorder="1" applyAlignment="1">
      <alignment horizontal="center" vertical="top"/>
    </xf>
    <xf numFmtId="0" fontId="13" fillId="2" borderId="6" xfId="0" applyFont="1" applyFill="1" applyBorder="1" applyAlignment="1">
      <alignment horizontal="center" vertical="top"/>
    </xf>
    <xf numFmtId="0" fontId="2" fillId="2" borderId="6" xfId="0" applyFont="1" applyFill="1" applyBorder="1" applyAlignment="1">
      <alignment horizontal="left" vertical="top" wrapText="1"/>
    </xf>
    <xf numFmtId="0" fontId="2" fillId="0" borderId="9" xfId="0" applyFont="1" applyBorder="1" applyAlignment="1">
      <alignment vertical="top" wrapText="1"/>
    </xf>
    <xf numFmtId="0" fontId="2" fillId="0" borderId="10" xfId="0" applyFont="1" applyBorder="1" applyAlignment="1">
      <alignment horizontal="left" vertical="top" wrapText="1"/>
    </xf>
    <xf numFmtId="0" fontId="2" fillId="0" borderId="10" xfId="0" applyFont="1" applyBorder="1" applyAlignment="1">
      <alignment vertical="top" wrapText="1"/>
    </xf>
    <xf numFmtId="0" fontId="2" fillId="2" borderId="11" xfId="0" applyFont="1" applyFill="1" applyBorder="1" applyAlignment="1">
      <alignment vertical="top" wrapText="1"/>
    </xf>
    <xf numFmtId="0" fontId="2" fillId="2" borderId="11" xfId="0" applyFont="1" applyFill="1" applyBorder="1" applyAlignment="1">
      <alignment horizontal="center" vertical="top" wrapText="1"/>
    </xf>
    <xf numFmtId="43" fontId="2" fillId="0" borderId="10" xfId="0" applyNumberFormat="1" applyFont="1" applyBorder="1" applyAlignment="1">
      <alignment horizontal="right" vertical="top" wrapText="1"/>
    </xf>
    <xf numFmtId="0" fontId="2" fillId="0" borderId="10" xfId="0" applyFont="1" applyBorder="1" applyAlignment="1">
      <alignment horizontal="center" vertical="top" wrapText="1"/>
    </xf>
    <xf numFmtId="0" fontId="7" fillId="0" borderId="10" xfId="0" applyFont="1" applyBorder="1" applyAlignment="1">
      <alignment horizontal="center" vertical="top" wrapText="1"/>
    </xf>
    <xf numFmtId="0" fontId="2" fillId="0" borderId="10" xfId="0" applyFont="1" applyBorder="1" applyAlignment="1">
      <alignment vertical="top"/>
    </xf>
    <xf numFmtId="2" fontId="2" fillId="0" borderId="10" xfId="0" applyNumberFormat="1" applyFont="1" applyBorder="1" applyAlignment="1">
      <alignment vertical="top" wrapText="1"/>
    </xf>
    <xf numFmtId="0" fontId="9" fillId="0" borderId="12" xfId="0" applyFont="1" applyBorder="1" applyAlignment="1">
      <alignment vertical="top"/>
    </xf>
    <xf numFmtId="43" fontId="4" fillId="9" borderId="2" xfId="0" applyNumberFormat="1" applyFont="1" applyFill="1" applyBorder="1" applyAlignment="1">
      <alignment horizontal="right" vertical="top" wrapText="1"/>
    </xf>
    <xf numFmtId="0" fontId="3" fillId="9" borderId="2" xfId="0" applyFont="1" applyFill="1" applyBorder="1" applyAlignment="1">
      <alignment horizontal="center" vertical="top" wrapText="1"/>
    </xf>
    <xf numFmtId="2" fontId="3" fillId="10" borderId="3" xfId="0" applyNumberFormat="1" applyFont="1" applyFill="1" applyBorder="1" applyAlignment="1">
      <alignment horizontal="center" vertical="top" wrapText="1"/>
    </xf>
    <xf numFmtId="0" fontId="5" fillId="11" borderId="4" xfId="0" applyFont="1" applyFill="1" applyBorder="1" applyAlignment="1">
      <alignment horizontal="center" vertical="top" wrapText="1"/>
    </xf>
  </cellXfs>
  <cellStyles count="1">
    <cellStyle name="Normal" xfId="0" builtinId="0"/>
  </cellStyles>
  <dxfs count="6">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2">
    <tableStyle name="TABLE_TENDER-style" pivot="0" count="3" xr9:uid="{00000000-0011-0000-FFFF-FFFF00000000}">
      <tableStyleElement type="headerRow" dxfId="5"/>
      <tableStyleElement type="firstRowStripe" dxfId="4"/>
      <tableStyleElement type="secondRowStripe" dxfId="3"/>
    </tableStyle>
    <tableStyle name="Sheet1 (2)-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131">
  <tableColumns count="8">
    <tableColumn id="1" xr3:uid="{00000000-0010-0000-0000-000001000000}" name="Y"/>
    <tableColumn id="2" xr3:uid="{00000000-0010-0000-0000-000002000000}" name="X1"/>
    <tableColumn id="3" xr3:uid="{00000000-0010-0000-0000-000003000000}" name="X2"/>
    <tableColumn id="4" xr3:uid="{00000000-0010-0000-0000-000004000000}" name="X3"/>
    <tableColumn id="5" xr3:uid="{00000000-0010-0000-0000-000005000000}" name="X4"/>
    <tableColumn id="6" xr3:uid="{00000000-0010-0000-0000-000006000000}" name="X5"/>
    <tableColumn id="7" xr3:uid="{00000000-0010-0000-0000-000007000000}" name="X6"/>
    <tableColumn id="8" xr3:uid="{00000000-0010-0000-0000-000008000000}" name="X7"/>
  </tableColumns>
  <tableStyleInfo name="TABLE_TEND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U131">
  <tableColumns count="21">
    <tableColumn id="1" xr3:uid="{00000000-0010-0000-0100-000001000000}" name="Satker"/>
    <tableColumn id="2" xr3:uid="{00000000-0010-0000-0100-000002000000}" name="Kode tender"/>
    <tableColumn id="3" xr3:uid="{00000000-0010-0000-0100-000003000000}" name="Nomor LHA"/>
    <tableColumn id="4" xr3:uid="{00000000-0010-0000-0100-000004000000}" name="Judul Tender"/>
    <tableColumn id="5" xr3:uid="{00000000-0010-0000-0100-000005000000}" name="Nama Pemenang"/>
    <tableColumn id="6" xr3:uid="{00000000-0010-0000-0100-000006000000}" name="Ada Temuan"/>
    <tableColumn id="7" xr3:uid="{00000000-0010-0000-0100-000007000000}" name="Nilai Kontrak"/>
    <tableColumn id="8" xr3:uid="{00000000-0010-0000-0100-000008000000}" name="Nilai HPS"/>
    <tableColumn id="9" xr3:uid="{00000000-0010-0000-0100-000009000000}" name="Durasi Pengumuman s/d penetapan"/>
    <tableColumn id="10" xr3:uid="{00000000-0010-0000-0100-00000A000000}" name="Periode bulan dan tahun Tender"/>
    <tableColumn id="11" xr3:uid="{00000000-0010-0000-0100-00000B000000}" name="Ada sanggahan"/>
    <tableColumn id="12" xr3:uid="{00000000-0010-0000-0100-00000C000000}" name="Tahun Pelaksanaan (n Tahun)"/>
    <tableColumn id="13" xr3:uid="{00000000-0010-0000-0100-00000D000000}" name="Ada pengaduan "/>
    <tableColumn id="14" xr3:uid="{00000000-0010-0000-0100-00000E000000}" name="Terdapat Perusahaan pendukung"/>
    <tableColumn id="15" xr3:uid="{00000000-0010-0000-0100-00000F000000}" name="Melalui Reviu HPS  "/>
    <tableColumn id="16" xr3:uid="{00000000-0010-0000-0100-000010000000}" name="Masuk Daftar Prioritas Strategis Nasional "/>
    <tableColumn id="17" xr3:uid="{00000000-0010-0000-0100-000011000000}" name="Masuk usulan daftar DPR/D"/>
    <tableColumn id="18" xr3:uid="{00000000-0010-0000-0100-000012000000}" name="Perusahaan Pendukung"/>
    <tableColumn id="19" xr3:uid="{00000000-0010-0000-0100-000013000000}" name="% kontrak/HPS"/>
    <tableColumn id="20" xr3:uid="{00000000-0010-0000-0100-000014000000}" name="selisih timpang"/>
    <tableColumn id="21" xr3:uid="{00000000-0010-0000-0100-000015000000}" name="skor PFA opentender"/>
  </tableColumns>
  <tableStyleInfo name="Sheet1 (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G9" sqref="G9"/>
    </sheetView>
  </sheetViews>
  <sheetFormatPr defaultColWidth="12.5703125" defaultRowHeight="15" customHeight="1"/>
  <cols>
    <col min="1" max="1" width="4.28515625" customWidth="1"/>
    <col min="2" max="3" width="12" customWidth="1"/>
    <col min="4" max="5" width="5.42578125" customWidth="1"/>
    <col min="6" max="6" width="12" customWidth="1"/>
    <col min="7" max="7" width="12.5703125" customWidth="1"/>
    <col min="8" max="8" width="6" customWidth="1"/>
    <col min="9" max="26" width="8.5703125" customWidth="1"/>
  </cols>
  <sheetData>
    <row r="1" spans="1:8" ht="14.25" customHeight="1">
      <c r="A1" s="1" t="s">
        <v>0</v>
      </c>
      <c r="B1" s="1" t="s">
        <v>1</v>
      </c>
      <c r="C1" s="1" t="s">
        <v>2</v>
      </c>
      <c r="D1" s="1" t="s">
        <v>3</v>
      </c>
      <c r="E1" s="1" t="s">
        <v>4</v>
      </c>
      <c r="F1" s="1" t="s">
        <v>5</v>
      </c>
      <c r="G1" s="1" t="s">
        <v>6</v>
      </c>
      <c r="H1" s="1" t="s">
        <v>7</v>
      </c>
    </row>
    <row r="2" spans="1:8" ht="14.25" customHeight="1">
      <c r="A2" s="2" t="s">
        <v>8</v>
      </c>
      <c r="B2" s="1">
        <v>4795000000</v>
      </c>
      <c r="C2" s="1">
        <v>4900262180</v>
      </c>
      <c r="D2" s="1">
        <v>15</v>
      </c>
      <c r="E2" s="1">
        <v>1</v>
      </c>
      <c r="F2" s="1">
        <v>0.97851907181015396</v>
      </c>
      <c r="G2" s="1">
        <v>2.1480928189846399E-2</v>
      </c>
      <c r="H2" s="1">
        <v>39</v>
      </c>
    </row>
    <row r="3" spans="1:8" ht="14.25" customHeight="1">
      <c r="A3" s="2" t="s">
        <v>8</v>
      </c>
      <c r="B3" s="1">
        <v>5221828000</v>
      </c>
      <c r="C3" s="1">
        <v>5433399941.7399998</v>
      </c>
      <c r="D3" s="1">
        <v>15</v>
      </c>
      <c r="E3" s="1">
        <v>1</v>
      </c>
      <c r="F3" s="1">
        <v>0.96106085618423198</v>
      </c>
      <c r="G3" s="1">
        <v>3.8939143815768101E-2</v>
      </c>
      <c r="H3" s="1">
        <v>50</v>
      </c>
    </row>
    <row r="4" spans="1:8" ht="14.25" customHeight="1">
      <c r="A4" s="2" t="s">
        <v>8</v>
      </c>
      <c r="B4" s="1">
        <v>2897914000</v>
      </c>
      <c r="C4" s="1">
        <v>2949754940</v>
      </c>
      <c r="D4" s="1">
        <v>13</v>
      </c>
      <c r="E4" s="1">
        <v>1</v>
      </c>
      <c r="F4" s="1">
        <v>0.98242534005214699</v>
      </c>
      <c r="G4" s="1">
        <v>1.7574659947853101E-2</v>
      </c>
      <c r="H4" s="1">
        <v>54</v>
      </c>
    </row>
    <row r="5" spans="1:8" ht="14.25" customHeight="1">
      <c r="A5" s="2" t="s">
        <v>8</v>
      </c>
      <c r="B5" s="1">
        <v>2285983000</v>
      </c>
      <c r="C5" s="1">
        <v>2388471631.6999998</v>
      </c>
      <c r="D5" s="1">
        <v>33</v>
      </c>
      <c r="E5" s="1">
        <v>1</v>
      </c>
      <c r="F5" s="1">
        <v>0.95709028721975897</v>
      </c>
      <c r="G5" s="1">
        <v>4.2909712780240701E-2</v>
      </c>
      <c r="H5" s="1">
        <v>36</v>
      </c>
    </row>
    <row r="6" spans="1:8" ht="14.25" customHeight="1">
      <c r="A6" s="2" t="s">
        <v>8</v>
      </c>
      <c r="B6" s="1">
        <v>920891000</v>
      </c>
      <c r="C6" s="1">
        <v>930882475.07000005</v>
      </c>
      <c r="D6" s="1">
        <v>27</v>
      </c>
      <c r="E6" s="1">
        <v>1</v>
      </c>
      <c r="F6" s="1">
        <v>0.98926666326031198</v>
      </c>
      <c r="G6" s="1">
        <v>1.07333367396875E-2</v>
      </c>
      <c r="H6" s="1">
        <v>36</v>
      </c>
    </row>
    <row r="7" spans="1:8" ht="14.25" customHeight="1">
      <c r="A7" s="2" t="s">
        <v>8</v>
      </c>
      <c r="B7" s="1">
        <v>2196919412</v>
      </c>
      <c r="C7" s="1">
        <v>2313707173.25</v>
      </c>
      <c r="D7" s="1">
        <v>29</v>
      </c>
      <c r="E7" s="1">
        <v>1</v>
      </c>
      <c r="F7" s="1">
        <v>0.94952353409271295</v>
      </c>
      <c r="G7" s="1">
        <v>5.0476465907287403E-2</v>
      </c>
      <c r="H7" s="1">
        <v>36</v>
      </c>
    </row>
    <row r="8" spans="1:8" ht="14.25" customHeight="1">
      <c r="A8" s="2" t="s">
        <v>8</v>
      </c>
      <c r="B8" s="1">
        <v>2156789834</v>
      </c>
      <c r="C8" s="1">
        <v>2378661747.1399999</v>
      </c>
      <c r="D8" s="1">
        <v>29</v>
      </c>
      <c r="E8" s="1">
        <v>1</v>
      </c>
      <c r="F8" s="1">
        <v>0.90672405885083496</v>
      </c>
      <c r="G8" s="1">
        <v>9.3275941149164696E-2</v>
      </c>
      <c r="H8" s="1">
        <v>39</v>
      </c>
    </row>
    <row r="9" spans="1:8" ht="14.25" customHeight="1">
      <c r="A9" s="2" t="s">
        <v>8</v>
      </c>
      <c r="B9" s="1">
        <v>2302585248</v>
      </c>
      <c r="C9" s="1">
        <v>2478109615.1300001</v>
      </c>
      <c r="D9" s="1">
        <v>22</v>
      </c>
      <c r="E9" s="1">
        <v>1</v>
      </c>
      <c r="F9" s="1">
        <v>0.92917005524761997</v>
      </c>
      <c r="G9" s="1">
        <v>7.0829944752380206E-2</v>
      </c>
      <c r="H9" s="1">
        <v>32</v>
      </c>
    </row>
    <row r="10" spans="1:8" ht="14.25" customHeight="1">
      <c r="A10" s="2" t="s">
        <v>8</v>
      </c>
      <c r="B10" s="1">
        <v>2298500325</v>
      </c>
      <c r="C10" s="1">
        <v>2472153699.3200002</v>
      </c>
      <c r="D10" s="1">
        <v>22</v>
      </c>
      <c r="E10" s="1">
        <v>1</v>
      </c>
      <c r="F10" s="1">
        <v>0.92975623871292201</v>
      </c>
      <c r="G10" s="1">
        <v>7.02437612870776E-2</v>
      </c>
      <c r="H10" s="1">
        <v>39</v>
      </c>
    </row>
    <row r="11" spans="1:8" ht="14.25" customHeight="1">
      <c r="A11" s="2" t="s">
        <v>8</v>
      </c>
      <c r="B11" s="1">
        <v>2324214284</v>
      </c>
      <c r="C11" s="1">
        <v>2499475771.9499998</v>
      </c>
      <c r="D11" s="1">
        <v>22</v>
      </c>
      <c r="E11" s="1">
        <v>1</v>
      </c>
      <c r="F11" s="1">
        <v>0.92988070141873502</v>
      </c>
      <c r="G11" s="1">
        <v>7.0119298581265005E-2</v>
      </c>
      <c r="H11" s="1">
        <v>32</v>
      </c>
    </row>
    <row r="12" spans="1:8" ht="14.25" customHeight="1">
      <c r="A12" s="2" t="s">
        <v>8</v>
      </c>
      <c r="B12" s="1">
        <v>1000708000</v>
      </c>
      <c r="C12" s="1">
        <v>1049963380.05</v>
      </c>
      <c r="D12" s="1">
        <v>14</v>
      </c>
      <c r="E12" s="1">
        <v>1</v>
      </c>
      <c r="F12" s="1">
        <v>0.95308847814515696</v>
      </c>
      <c r="G12" s="1">
        <v>4.6911521854842597E-2</v>
      </c>
      <c r="H12" s="1">
        <v>46</v>
      </c>
    </row>
    <row r="13" spans="1:8" ht="14.25" customHeight="1">
      <c r="A13" s="2" t="s">
        <v>8</v>
      </c>
      <c r="B13" s="1">
        <v>692049000</v>
      </c>
      <c r="C13" s="1">
        <v>750000000</v>
      </c>
      <c r="D13" s="1">
        <v>24</v>
      </c>
      <c r="E13" s="1">
        <v>1</v>
      </c>
      <c r="F13" s="1">
        <v>0.922732</v>
      </c>
      <c r="G13" s="1">
        <v>7.7268000000000003E-2</v>
      </c>
      <c r="H13" s="1">
        <v>29</v>
      </c>
    </row>
    <row r="14" spans="1:8" ht="14.25" customHeight="1">
      <c r="A14" s="2" t="s">
        <v>8</v>
      </c>
      <c r="B14" s="1">
        <v>4799973000</v>
      </c>
      <c r="C14" s="1">
        <v>4899798940.4700003</v>
      </c>
      <c r="D14" s="1">
        <v>21</v>
      </c>
      <c r="E14" s="1">
        <v>2</v>
      </c>
      <c r="F14" s="1">
        <v>0.97962652311190002</v>
      </c>
      <c r="G14" s="1">
        <v>2.0373476888099502E-2</v>
      </c>
      <c r="H14" s="1">
        <v>50</v>
      </c>
    </row>
    <row r="15" spans="1:8" ht="14.25" customHeight="1">
      <c r="A15" s="2" t="s">
        <v>8</v>
      </c>
      <c r="B15" s="1">
        <v>11761174000</v>
      </c>
      <c r="C15" s="1">
        <v>11921626869.16</v>
      </c>
      <c r="D15" s="1">
        <v>21</v>
      </c>
      <c r="E15" s="1">
        <v>2</v>
      </c>
      <c r="F15" s="1">
        <v>0.98654102574078395</v>
      </c>
      <c r="G15" s="1">
        <v>1.34589742592158E-2</v>
      </c>
      <c r="H15" s="1">
        <v>57</v>
      </c>
    </row>
    <row r="16" spans="1:8" ht="14.25" customHeight="1">
      <c r="A16" s="2" t="s">
        <v>8</v>
      </c>
      <c r="B16" s="1">
        <v>659172180</v>
      </c>
      <c r="C16" s="1">
        <v>795206577.27999997</v>
      </c>
      <c r="D16" s="1">
        <v>15</v>
      </c>
      <c r="E16" s="1">
        <v>1</v>
      </c>
      <c r="F16" s="1">
        <v>0.82893200186383598</v>
      </c>
      <c r="G16" s="1">
        <v>0.171067998136163</v>
      </c>
      <c r="H16" s="1">
        <v>54</v>
      </c>
    </row>
    <row r="17" spans="1:8" ht="14.25" customHeight="1">
      <c r="A17" s="2" t="s">
        <v>8</v>
      </c>
      <c r="B17" s="1">
        <v>2256477335</v>
      </c>
      <c r="C17" s="1">
        <v>2849697800.7199998</v>
      </c>
      <c r="D17" s="1">
        <v>28</v>
      </c>
      <c r="E17" s="1">
        <v>1</v>
      </c>
      <c r="F17" s="1">
        <v>0.79183039493867802</v>
      </c>
      <c r="G17" s="1">
        <v>0.20816960506132201</v>
      </c>
      <c r="H17" s="1">
        <v>61</v>
      </c>
    </row>
    <row r="18" spans="1:8" ht="14.25" customHeight="1">
      <c r="A18" s="2" t="s">
        <v>0</v>
      </c>
      <c r="B18" s="1">
        <v>11546018400</v>
      </c>
      <c r="C18" s="1">
        <v>14994799783.1</v>
      </c>
      <c r="D18" s="1">
        <v>46</v>
      </c>
      <c r="E18" s="1">
        <v>2</v>
      </c>
      <c r="F18" s="1">
        <v>0.77000150498928499</v>
      </c>
      <c r="G18" s="1">
        <v>0.22999849501071501</v>
      </c>
      <c r="H18" s="1">
        <v>68</v>
      </c>
    </row>
    <row r="19" spans="1:8" ht="14.25" customHeight="1">
      <c r="A19" s="2" t="s">
        <v>0</v>
      </c>
      <c r="B19" s="1">
        <v>3528049000</v>
      </c>
      <c r="C19" s="1">
        <v>4829808278.6099997</v>
      </c>
      <c r="D19" s="1">
        <v>46</v>
      </c>
      <c r="E19" s="1">
        <v>2</v>
      </c>
      <c r="F19" s="1">
        <v>0.73047392287284696</v>
      </c>
      <c r="G19" s="1">
        <v>0.26952607712715299</v>
      </c>
      <c r="H19" s="1">
        <v>57</v>
      </c>
    </row>
    <row r="20" spans="1:8" ht="14.25" customHeight="1">
      <c r="A20" s="2" t="s">
        <v>0</v>
      </c>
      <c r="B20" s="1">
        <v>2658502200</v>
      </c>
      <c r="C20" s="1">
        <v>2899908049.5</v>
      </c>
      <c r="D20" s="1">
        <v>23</v>
      </c>
      <c r="E20" s="1">
        <v>1</v>
      </c>
      <c r="F20" s="1">
        <v>0.91675396413288901</v>
      </c>
      <c r="G20" s="1">
        <v>8.3246035867110602E-2</v>
      </c>
      <c r="H20" s="1">
        <v>39</v>
      </c>
    </row>
    <row r="21" spans="1:8" ht="14.25" customHeight="1">
      <c r="A21" s="2" t="s">
        <v>0</v>
      </c>
      <c r="B21" s="1">
        <v>1486757250</v>
      </c>
      <c r="C21" s="1">
        <v>1537244863</v>
      </c>
      <c r="D21" s="1">
        <v>10</v>
      </c>
      <c r="E21" s="1">
        <v>1</v>
      </c>
      <c r="F21" s="1">
        <v>0.96715707808483398</v>
      </c>
      <c r="G21" s="1">
        <v>3.2842921915166599E-2</v>
      </c>
      <c r="H21" s="1">
        <v>42.86</v>
      </c>
    </row>
    <row r="22" spans="1:8" ht="14.25" customHeight="1">
      <c r="A22" s="2" t="s">
        <v>0</v>
      </c>
      <c r="B22" s="1">
        <v>11839495000</v>
      </c>
      <c r="C22" s="1">
        <v>12810456155.66</v>
      </c>
      <c r="D22" s="1">
        <v>24</v>
      </c>
      <c r="E22" s="1">
        <v>1</v>
      </c>
      <c r="F22" s="1">
        <v>0.924205575206547</v>
      </c>
      <c r="G22" s="1">
        <v>7.5794424793453094E-2</v>
      </c>
      <c r="H22" s="1">
        <v>35.71</v>
      </c>
    </row>
    <row r="23" spans="1:8" ht="14.25" customHeight="1">
      <c r="A23" s="2" t="s">
        <v>0</v>
      </c>
      <c r="B23" s="1">
        <v>10627605000</v>
      </c>
      <c r="C23" s="1">
        <v>11730249706.639999</v>
      </c>
      <c r="D23" s="1">
        <v>30</v>
      </c>
      <c r="E23" s="1">
        <v>1</v>
      </c>
      <c r="F23" s="1">
        <v>0.90599989478349796</v>
      </c>
      <c r="G23" s="1">
        <v>9.4000105216501803E-2</v>
      </c>
      <c r="H23" s="1">
        <v>50</v>
      </c>
    </row>
    <row r="24" spans="1:8" ht="14.25" customHeight="1">
      <c r="A24" s="2" t="s">
        <v>0</v>
      </c>
      <c r="B24" s="1">
        <v>2859542000</v>
      </c>
      <c r="C24" s="1">
        <v>2895114957</v>
      </c>
      <c r="D24" s="1">
        <v>28</v>
      </c>
      <c r="E24" s="1">
        <v>1</v>
      </c>
      <c r="F24" s="1">
        <v>0.98771276528623198</v>
      </c>
      <c r="G24" s="1">
        <v>1.22872347137682E-2</v>
      </c>
      <c r="H24" s="1">
        <v>46.43</v>
      </c>
    </row>
    <row r="25" spans="1:8" ht="14.25" customHeight="1">
      <c r="A25" s="2" t="s">
        <v>0</v>
      </c>
      <c r="B25" s="1">
        <v>5297557800</v>
      </c>
      <c r="C25" s="1">
        <v>5434439023.1999998</v>
      </c>
      <c r="D25" s="1">
        <v>16</v>
      </c>
      <c r="E25" s="1">
        <v>1</v>
      </c>
      <c r="F25" s="1">
        <v>0.97481226256921005</v>
      </c>
      <c r="G25" s="1">
        <v>2.5187737430789801E-2</v>
      </c>
      <c r="H25" s="1">
        <v>57.14</v>
      </c>
    </row>
    <row r="26" spans="1:8" ht="14.25" customHeight="1">
      <c r="A26" s="2" t="s">
        <v>8</v>
      </c>
      <c r="B26" s="1">
        <v>4175367000</v>
      </c>
      <c r="C26" s="1">
        <v>4232392000</v>
      </c>
      <c r="D26" s="1">
        <v>17</v>
      </c>
      <c r="E26" s="1">
        <v>1</v>
      </c>
      <c r="F26" s="1">
        <v>0.98652653156891001</v>
      </c>
      <c r="G26" s="1">
        <v>1.3473468431090501E-2</v>
      </c>
      <c r="H26" s="1">
        <v>53.57</v>
      </c>
    </row>
    <row r="27" spans="1:8" ht="14.25" customHeight="1">
      <c r="A27" s="2" t="s">
        <v>8</v>
      </c>
      <c r="B27" s="1">
        <v>898339000</v>
      </c>
      <c r="C27" s="1">
        <v>949998000</v>
      </c>
      <c r="D27" s="1">
        <v>21</v>
      </c>
      <c r="E27" s="1">
        <v>1</v>
      </c>
      <c r="F27" s="1">
        <v>0.94562199078313802</v>
      </c>
      <c r="G27" s="1">
        <v>5.4378009216861499E-2</v>
      </c>
      <c r="H27" s="1">
        <v>32.14</v>
      </c>
    </row>
    <row r="28" spans="1:8" ht="14.25" customHeight="1">
      <c r="A28" s="2" t="s">
        <v>0</v>
      </c>
      <c r="B28" s="1">
        <v>1897000000</v>
      </c>
      <c r="C28" s="1">
        <v>1939928710.04</v>
      </c>
      <c r="D28" s="1">
        <v>12</v>
      </c>
      <c r="E28" s="1">
        <v>1</v>
      </c>
      <c r="F28" s="1">
        <v>0.97787098576467002</v>
      </c>
      <c r="G28" s="1">
        <v>2.21290142353298E-2</v>
      </c>
      <c r="H28" s="1">
        <v>39.29</v>
      </c>
    </row>
    <row r="29" spans="1:8" ht="14.25" customHeight="1">
      <c r="A29" s="2" t="s">
        <v>0</v>
      </c>
      <c r="B29" s="1">
        <v>72035762000</v>
      </c>
      <c r="C29" s="1">
        <v>84067281538.490005</v>
      </c>
      <c r="D29" s="1">
        <v>48</v>
      </c>
      <c r="E29" s="1">
        <v>1</v>
      </c>
      <c r="F29" s="1">
        <v>0.85688225765952197</v>
      </c>
      <c r="G29" s="1">
        <v>0.143117742340478</v>
      </c>
      <c r="H29" s="1">
        <v>57.14</v>
      </c>
    </row>
    <row r="30" spans="1:8" ht="14.25" customHeight="1">
      <c r="A30" s="2" t="s">
        <v>0</v>
      </c>
      <c r="B30" s="1">
        <v>13221547000</v>
      </c>
      <c r="C30" s="1">
        <v>15657914691.290001</v>
      </c>
      <c r="D30" s="1">
        <v>53</v>
      </c>
      <c r="E30" s="1">
        <v>2</v>
      </c>
      <c r="F30" s="1">
        <v>0.84440024490328403</v>
      </c>
      <c r="G30" s="1">
        <v>0.155599755096716</v>
      </c>
      <c r="H30" s="1">
        <v>54</v>
      </c>
    </row>
    <row r="31" spans="1:8" ht="14.25" customHeight="1">
      <c r="A31" s="2" t="s">
        <v>0</v>
      </c>
      <c r="B31" s="1">
        <v>740461900</v>
      </c>
      <c r="C31" s="1">
        <v>867759200</v>
      </c>
      <c r="D31" s="1">
        <v>22</v>
      </c>
      <c r="E31" s="1">
        <v>1</v>
      </c>
      <c r="F31" s="1">
        <v>0.85330342795559</v>
      </c>
      <c r="G31" s="1">
        <v>0.14669657204441</v>
      </c>
      <c r="H31" s="1">
        <v>46.43</v>
      </c>
    </row>
    <row r="32" spans="1:8" ht="14.25" customHeight="1">
      <c r="A32" s="2" t="s">
        <v>8</v>
      </c>
      <c r="B32" s="1">
        <v>614900000</v>
      </c>
      <c r="C32" s="1">
        <v>623938406.29999995</v>
      </c>
      <c r="D32" s="1">
        <v>15</v>
      </c>
      <c r="E32" s="1">
        <v>1</v>
      </c>
      <c r="F32" s="1">
        <v>0.98551394463181297</v>
      </c>
      <c r="G32" s="1">
        <v>1.4486055368186699E-2</v>
      </c>
      <c r="H32" s="1">
        <v>46.43</v>
      </c>
    </row>
    <row r="33" spans="1:8" ht="14.25" customHeight="1">
      <c r="A33" s="2" t="s">
        <v>8</v>
      </c>
      <c r="B33" s="1">
        <v>270889000</v>
      </c>
      <c r="C33" s="1">
        <v>274578844.10000002</v>
      </c>
      <c r="D33" s="1">
        <v>16</v>
      </c>
      <c r="E33" s="1">
        <v>1</v>
      </c>
      <c r="F33" s="1">
        <v>0.986561804817504</v>
      </c>
      <c r="G33" s="1">
        <v>1.3438195182496299E-2</v>
      </c>
      <c r="H33" s="1">
        <v>42.86</v>
      </c>
    </row>
    <row r="34" spans="1:8" ht="14.25" customHeight="1">
      <c r="A34" s="2" t="s">
        <v>0</v>
      </c>
      <c r="B34" s="1">
        <v>18040000000</v>
      </c>
      <c r="C34" s="1">
        <v>19024419653.799999</v>
      </c>
      <c r="D34" s="1">
        <v>24</v>
      </c>
      <c r="E34" s="1">
        <v>1</v>
      </c>
      <c r="F34" s="1">
        <v>0.94825494434447199</v>
      </c>
      <c r="G34" s="1">
        <v>5.1745055655527901E-2</v>
      </c>
      <c r="H34" s="1">
        <v>50</v>
      </c>
    </row>
    <row r="35" spans="1:8" ht="14.25" customHeight="1">
      <c r="A35" s="2" t="s">
        <v>0</v>
      </c>
      <c r="B35" s="1">
        <v>9350927792.4400005</v>
      </c>
      <c r="C35" s="1">
        <v>9749999823.1399994</v>
      </c>
      <c r="D35" s="1">
        <v>31</v>
      </c>
      <c r="E35" s="1">
        <v>1</v>
      </c>
      <c r="F35" s="1">
        <v>0.95906953457036304</v>
      </c>
      <c r="G35" s="1">
        <v>4.0930465429637103E-2</v>
      </c>
      <c r="H35" s="1">
        <v>35.71</v>
      </c>
    </row>
    <row r="36" spans="1:8" ht="14.25" customHeight="1">
      <c r="A36" s="2" t="s">
        <v>0</v>
      </c>
      <c r="B36" s="1">
        <v>312522000</v>
      </c>
      <c r="C36" s="1">
        <v>317234203.48000002</v>
      </c>
      <c r="D36" s="1">
        <v>35</v>
      </c>
      <c r="E36" s="1">
        <v>1</v>
      </c>
      <c r="F36" s="1">
        <v>0.985145979127383</v>
      </c>
      <c r="G36" s="1">
        <v>1.48540208726172E-2</v>
      </c>
      <c r="H36" s="1">
        <v>46.43</v>
      </c>
    </row>
    <row r="37" spans="1:8" ht="14.25" customHeight="1">
      <c r="A37" s="2" t="s">
        <v>0</v>
      </c>
      <c r="B37" s="1">
        <v>234435999</v>
      </c>
      <c r="C37" s="1">
        <v>237583321.97</v>
      </c>
      <c r="D37" s="1">
        <v>35</v>
      </c>
      <c r="E37" s="1">
        <v>1</v>
      </c>
      <c r="F37" s="1">
        <v>0.98675276133062295</v>
      </c>
      <c r="G37" s="1">
        <v>1.32472386693768E-2</v>
      </c>
      <c r="H37" s="1">
        <v>42.86</v>
      </c>
    </row>
    <row r="38" spans="1:8" ht="14.25" customHeight="1">
      <c r="A38" s="2" t="s">
        <v>0</v>
      </c>
      <c r="B38" s="1">
        <v>1250982000</v>
      </c>
      <c r="C38" s="1">
        <v>1270261697.4000001</v>
      </c>
      <c r="D38" s="1">
        <v>35</v>
      </c>
      <c r="E38" s="1">
        <v>1</v>
      </c>
      <c r="F38" s="1">
        <v>0.98482226344424795</v>
      </c>
      <c r="G38" s="1">
        <v>1.51777365557524E-2</v>
      </c>
      <c r="H38" s="1">
        <v>53.57</v>
      </c>
    </row>
    <row r="39" spans="1:8" ht="14.25" customHeight="1">
      <c r="A39" s="2" t="s">
        <v>0</v>
      </c>
      <c r="B39" s="1">
        <v>2887600000</v>
      </c>
      <c r="C39" s="1">
        <v>2977071684.9499998</v>
      </c>
      <c r="D39" s="1">
        <v>9</v>
      </c>
      <c r="E39" s="1">
        <v>1</v>
      </c>
      <c r="F39" s="1">
        <v>0.96994641230766898</v>
      </c>
      <c r="G39" s="1">
        <v>3.00535876923308E-2</v>
      </c>
      <c r="H39" s="1">
        <v>46.43</v>
      </c>
    </row>
    <row r="40" spans="1:8" ht="14.25" customHeight="1">
      <c r="A40" s="2" t="s">
        <v>0</v>
      </c>
      <c r="B40" s="1">
        <v>1861500000</v>
      </c>
      <c r="C40" s="1">
        <v>1890221040.46</v>
      </c>
      <c r="D40" s="1">
        <v>13</v>
      </c>
      <c r="E40" s="1">
        <v>1</v>
      </c>
      <c r="F40" s="1">
        <v>0.98480545933770203</v>
      </c>
      <c r="G40" s="1">
        <v>1.51945406622976E-2</v>
      </c>
      <c r="H40" s="1">
        <v>42.86</v>
      </c>
    </row>
    <row r="41" spans="1:8" ht="14.25" customHeight="1">
      <c r="A41" s="2" t="s">
        <v>8</v>
      </c>
      <c r="B41" s="1">
        <v>1374768000</v>
      </c>
      <c r="C41" s="1">
        <v>1220034294.5699999</v>
      </c>
      <c r="D41" s="1">
        <v>13</v>
      </c>
      <c r="E41" s="1">
        <v>1</v>
      </c>
      <c r="F41" s="1">
        <v>1.1268273409351499</v>
      </c>
      <c r="G41" s="1">
        <v>-0.126827340935146</v>
      </c>
      <c r="H41" s="1">
        <v>42.86</v>
      </c>
    </row>
    <row r="42" spans="1:8" ht="14.25" customHeight="1">
      <c r="A42" s="2" t="s">
        <v>8</v>
      </c>
      <c r="B42" s="1">
        <v>2660000000</v>
      </c>
      <c r="C42" s="1">
        <v>2695592079.0100002</v>
      </c>
      <c r="D42" s="1">
        <v>22</v>
      </c>
      <c r="E42" s="1">
        <v>1</v>
      </c>
      <c r="F42" s="1">
        <v>0.98679619246281802</v>
      </c>
      <c r="G42" s="1">
        <v>1.3203807537182E-2</v>
      </c>
      <c r="H42" s="1">
        <v>46.43</v>
      </c>
    </row>
    <row r="43" spans="1:8" ht="14.25" customHeight="1">
      <c r="A43" s="2" t="s">
        <v>0</v>
      </c>
      <c r="B43" s="1">
        <v>738500000</v>
      </c>
      <c r="C43" s="1">
        <v>749771016.65999997</v>
      </c>
      <c r="D43" s="1">
        <v>26</v>
      </c>
      <c r="E43" s="1">
        <v>1</v>
      </c>
      <c r="F43" s="1">
        <v>0.98496738816311002</v>
      </c>
      <c r="G43" s="1">
        <v>1.50326118368898E-2</v>
      </c>
      <c r="H43" s="1">
        <v>50</v>
      </c>
    </row>
    <row r="44" spans="1:8" ht="14.25" customHeight="1">
      <c r="A44" s="2" t="s">
        <v>0</v>
      </c>
      <c r="B44" s="1">
        <v>806000000</v>
      </c>
      <c r="C44" s="1">
        <v>848702583.12</v>
      </c>
      <c r="D44" s="1">
        <v>21</v>
      </c>
      <c r="E44" s="1">
        <v>1</v>
      </c>
      <c r="F44" s="1">
        <v>0.94968486726761603</v>
      </c>
      <c r="G44" s="1">
        <v>5.0315132732384103E-2</v>
      </c>
      <c r="H44" s="1">
        <v>32.14</v>
      </c>
    </row>
    <row r="45" spans="1:8" ht="14.25" customHeight="1">
      <c r="A45" s="2" t="s">
        <v>0</v>
      </c>
      <c r="B45" s="1">
        <v>6976000000</v>
      </c>
      <c r="C45" s="1">
        <v>7074925336.1199999</v>
      </c>
      <c r="D45" s="1">
        <v>15</v>
      </c>
      <c r="E45" s="1">
        <v>1</v>
      </c>
      <c r="F45" s="1">
        <v>0.98601747277600904</v>
      </c>
      <c r="G45" s="1">
        <v>1.3982527223990701E-2</v>
      </c>
      <c r="H45" s="1">
        <v>46.43</v>
      </c>
    </row>
    <row r="46" spans="1:8" ht="14.25" customHeight="1">
      <c r="A46" s="2" t="s">
        <v>0</v>
      </c>
      <c r="B46" s="1">
        <v>12337441000</v>
      </c>
      <c r="C46" s="1">
        <v>12759749246.02</v>
      </c>
      <c r="D46" s="1">
        <v>21</v>
      </c>
      <c r="E46" s="1">
        <v>1</v>
      </c>
      <c r="F46" s="1">
        <v>0.96690309206885605</v>
      </c>
      <c r="G46" s="1">
        <v>3.30969079311434E-2</v>
      </c>
      <c r="H46" s="1">
        <v>39.29</v>
      </c>
    </row>
    <row r="47" spans="1:8" ht="14.25" customHeight="1">
      <c r="A47" s="2" t="s">
        <v>0</v>
      </c>
      <c r="B47" s="1">
        <v>4277000000</v>
      </c>
      <c r="C47" s="1">
        <v>4331115608.8900003</v>
      </c>
      <c r="D47" s="1">
        <v>13</v>
      </c>
      <c r="E47" s="1">
        <v>1</v>
      </c>
      <c r="F47" s="1">
        <v>0.98750538803930199</v>
      </c>
      <c r="G47" s="1">
        <v>1.24946119606975E-2</v>
      </c>
      <c r="H47" s="1">
        <v>39.29</v>
      </c>
    </row>
    <row r="48" spans="1:8" ht="14.25" customHeight="1">
      <c r="A48" s="2" t="s">
        <v>0</v>
      </c>
      <c r="B48" s="1">
        <v>4810000000</v>
      </c>
      <c r="C48" s="1">
        <v>4327646281.4700003</v>
      </c>
      <c r="D48" s="1">
        <v>16</v>
      </c>
      <c r="E48" s="1">
        <v>1</v>
      </c>
      <c r="F48" s="1">
        <v>1.1114586745675901</v>
      </c>
      <c r="G48" s="1">
        <v>-0.111458674567589</v>
      </c>
      <c r="H48" s="1">
        <v>35.71</v>
      </c>
    </row>
    <row r="49" spans="1:8" ht="14.25" customHeight="1">
      <c r="A49" s="2" t="s">
        <v>0</v>
      </c>
      <c r="B49" s="1">
        <v>665000000</v>
      </c>
      <c r="C49" s="1">
        <v>589099574.60000002</v>
      </c>
      <c r="D49" s="1">
        <v>23</v>
      </c>
      <c r="E49" s="1">
        <v>1</v>
      </c>
      <c r="F49" s="1">
        <v>1.12884141946892</v>
      </c>
      <c r="G49" s="1">
        <v>-0.128841419468918</v>
      </c>
      <c r="H49" s="1">
        <v>57.14</v>
      </c>
    </row>
    <row r="50" spans="1:8" ht="14.25" customHeight="1">
      <c r="A50" s="2" t="s">
        <v>0</v>
      </c>
      <c r="B50" s="1">
        <v>665000000</v>
      </c>
      <c r="C50" s="1">
        <v>589099574.60000002</v>
      </c>
      <c r="D50" s="1">
        <v>23</v>
      </c>
      <c r="E50" s="1">
        <v>1</v>
      </c>
      <c r="F50" s="1">
        <v>1.12884141946892</v>
      </c>
      <c r="G50" s="1">
        <v>-0.128841419468918</v>
      </c>
      <c r="H50" s="1">
        <v>50</v>
      </c>
    </row>
    <row r="51" spans="1:8" ht="14.25" customHeight="1">
      <c r="A51" s="2" t="s">
        <v>8</v>
      </c>
      <c r="B51" s="1">
        <v>3385400000</v>
      </c>
      <c r="C51" s="1">
        <v>3605650000</v>
      </c>
      <c r="D51" s="1">
        <v>36</v>
      </c>
      <c r="E51" s="1">
        <v>1</v>
      </c>
      <c r="F51" s="1">
        <v>0.93891531346636503</v>
      </c>
      <c r="G51" s="1">
        <v>6.1084686533634802E-2</v>
      </c>
      <c r="H51" s="1">
        <v>39.29</v>
      </c>
    </row>
    <row r="52" spans="1:8" ht="14.25" customHeight="1">
      <c r="A52" s="2" t="s">
        <v>8</v>
      </c>
      <c r="B52" s="1">
        <v>8581554000</v>
      </c>
      <c r="C52" s="1">
        <v>8618000000</v>
      </c>
      <c r="D52" s="1">
        <v>16</v>
      </c>
      <c r="E52" s="1">
        <v>1</v>
      </c>
      <c r="F52" s="1">
        <v>0.99577094453469495</v>
      </c>
      <c r="G52" s="1">
        <v>4.2290554653051596E-3</v>
      </c>
      <c r="H52" s="1">
        <v>64.290000000000006</v>
      </c>
    </row>
    <row r="53" spans="1:8" ht="14.25" customHeight="1">
      <c r="A53" s="2" t="s">
        <v>8</v>
      </c>
      <c r="B53" s="1">
        <v>2571887000</v>
      </c>
      <c r="C53" s="1">
        <v>2580118280</v>
      </c>
      <c r="D53" s="1">
        <v>25</v>
      </c>
      <c r="E53" s="1">
        <v>2</v>
      </c>
      <c r="F53" s="1">
        <v>0.99680972765326104</v>
      </c>
      <c r="G53" s="1">
        <v>3.1902723467390798E-3</v>
      </c>
      <c r="H53" s="1">
        <v>57.14</v>
      </c>
    </row>
    <row r="54" spans="1:8" ht="14.25" customHeight="1">
      <c r="A54" s="2" t="s">
        <v>8</v>
      </c>
      <c r="B54" s="1">
        <v>3911174000</v>
      </c>
      <c r="C54" s="1">
        <v>3933828160</v>
      </c>
      <c r="D54" s="1">
        <v>25</v>
      </c>
      <c r="E54" s="1">
        <v>2</v>
      </c>
      <c r="F54" s="1">
        <v>0.99424119227414398</v>
      </c>
      <c r="G54" s="1">
        <v>5.7588077258565696E-3</v>
      </c>
      <c r="H54" s="1">
        <v>57.14</v>
      </c>
    </row>
    <row r="55" spans="1:8" ht="14.25" customHeight="1">
      <c r="A55" s="2" t="s">
        <v>0</v>
      </c>
      <c r="B55" s="1">
        <v>8666869000</v>
      </c>
      <c r="C55" s="1">
        <v>8774610000</v>
      </c>
      <c r="D55" s="1">
        <v>11</v>
      </c>
      <c r="E55" s="1">
        <v>1</v>
      </c>
      <c r="F55" s="1">
        <v>0.98772127764082995</v>
      </c>
      <c r="G55" s="1">
        <v>1.2278722359170401E-2</v>
      </c>
      <c r="H55" s="1">
        <v>39.29</v>
      </c>
    </row>
    <row r="56" spans="1:8" ht="14.25" customHeight="1">
      <c r="A56" s="2" t="s">
        <v>0</v>
      </c>
      <c r="B56" s="1">
        <v>48933251589</v>
      </c>
      <c r="C56" s="1">
        <v>61166564000</v>
      </c>
      <c r="D56" s="1">
        <v>49</v>
      </c>
      <c r="E56" s="1">
        <v>1</v>
      </c>
      <c r="F56" s="1">
        <v>0.80000000635968405</v>
      </c>
      <c r="G56" s="1">
        <v>0.19999999364031601</v>
      </c>
      <c r="H56" s="1">
        <v>64</v>
      </c>
    </row>
    <row r="57" spans="1:8" ht="14.25" customHeight="1">
      <c r="A57" s="2" t="s">
        <v>0</v>
      </c>
      <c r="B57" s="1">
        <v>56187131677.599998</v>
      </c>
      <c r="C57" s="1">
        <v>66183153000</v>
      </c>
      <c r="D57" s="1">
        <v>27</v>
      </c>
      <c r="E57" s="1">
        <v>1</v>
      </c>
      <c r="F57" s="1">
        <v>0.848964262515568</v>
      </c>
      <c r="G57" s="1">
        <v>0.151035737484432</v>
      </c>
      <c r="H57" s="1">
        <v>50</v>
      </c>
    </row>
    <row r="58" spans="1:8" ht="14.25" customHeight="1">
      <c r="A58" s="2" t="s">
        <v>0</v>
      </c>
      <c r="B58" s="1">
        <v>48489343210</v>
      </c>
      <c r="C58" s="1">
        <v>60611678000</v>
      </c>
      <c r="D58" s="1">
        <v>27</v>
      </c>
      <c r="E58" s="1">
        <v>1</v>
      </c>
      <c r="F58" s="1">
        <v>0.80000001336376103</v>
      </c>
      <c r="G58" s="1">
        <v>0.199999986636239</v>
      </c>
      <c r="H58" s="1">
        <v>46</v>
      </c>
    </row>
    <row r="59" spans="1:8" ht="14.25" customHeight="1">
      <c r="A59" s="2" t="s">
        <v>8</v>
      </c>
      <c r="B59" s="1">
        <v>44364880049</v>
      </c>
      <c r="C59" s="1">
        <v>45275514354.300003</v>
      </c>
      <c r="D59" s="1">
        <v>28</v>
      </c>
      <c r="E59" s="1">
        <v>1</v>
      </c>
      <c r="F59" s="1">
        <v>0.97988682584202402</v>
      </c>
      <c r="G59" s="1">
        <v>2.0113174157976501E-2</v>
      </c>
      <c r="H59" s="1">
        <v>57.14</v>
      </c>
    </row>
    <row r="60" spans="1:8" ht="14.25" customHeight="1">
      <c r="A60" s="2" t="s">
        <v>8</v>
      </c>
      <c r="B60" s="1">
        <v>275973335000</v>
      </c>
      <c r="C60" s="1">
        <v>308490266081.79999</v>
      </c>
      <c r="D60" s="1">
        <v>55</v>
      </c>
      <c r="E60" s="1">
        <v>1</v>
      </c>
      <c r="F60" s="1">
        <v>0.89459333192322599</v>
      </c>
      <c r="G60" s="1">
        <v>0.105406668076774</v>
      </c>
      <c r="H60" s="1">
        <v>60.71</v>
      </c>
    </row>
    <row r="61" spans="1:8" ht="14.25" customHeight="1">
      <c r="A61" s="2" t="s">
        <v>8</v>
      </c>
      <c r="B61" s="1">
        <v>93109540040</v>
      </c>
      <c r="C61" s="1">
        <v>103695864474.92999</v>
      </c>
      <c r="D61" s="1">
        <v>55</v>
      </c>
      <c r="E61" s="1">
        <v>1</v>
      </c>
      <c r="F61" s="1">
        <v>0.89790986855132104</v>
      </c>
      <c r="G61" s="1">
        <v>0.102090131448679</v>
      </c>
      <c r="H61" s="1">
        <v>46.43</v>
      </c>
    </row>
    <row r="62" spans="1:8" ht="14.25" customHeight="1">
      <c r="A62" s="2" t="s">
        <v>0</v>
      </c>
      <c r="B62" s="1">
        <v>70600000000</v>
      </c>
      <c r="C62" s="1">
        <v>82037723424.009995</v>
      </c>
      <c r="D62" s="1"/>
      <c r="E62" s="1">
        <v>2</v>
      </c>
      <c r="F62" s="1">
        <v>0.86057970715624998</v>
      </c>
      <c r="G62" s="1">
        <v>0.13942029284374899</v>
      </c>
      <c r="H62" s="1">
        <v>46</v>
      </c>
    </row>
    <row r="63" spans="1:8" ht="14.25" customHeight="1">
      <c r="A63" s="2" t="s">
        <v>0</v>
      </c>
      <c r="B63" s="1">
        <v>40539657000</v>
      </c>
      <c r="C63" s="1">
        <v>43660000000</v>
      </c>
      <c r="D63" s="1"/>
      <c r="E63" s="1">
        <v>1</v>
      </c>
      <c r="F63" s="1">
        <v>0.92853085203847896</v>
      </c>
      <c r="G63" s="1">
        <v>7.1469147961520804E-2</v>
      </c>
      <c r="H63" s="1">
        <v>36</v>
      </c>
    </row>
    <row r="64" spans="1:8" ht="14.25" customHeight="1">
      <c r="A64" s="2" t="s">
        <v>0</v>
      </c>
      <c r="B64" s="1">
        <v>4780148148</v>
      </c>
      <c r="C64" s="1">
        <v>4772921000</v>
      </c>
      <c r="D64" s="1"/>
      <c r="E64" s="1">
        <v>1</v>
      </c>
      <c r="F64" s="1">
        <v>1.0015141981189299</v>
      </c>
      <c r="G64" s="1">
        <v>-1.51419811892972E-3</v>
      </c>
      <c r="H64" s="1">
        <v>42.86</v>
      </c>
    </row>
    <row r="65" spans="1:8" ht="14.25" customHeight="1">
      <c r="A65" s="2" t="s">
        <v>0</v>
      </c>
      <c r="B65" s="1">
        <v>2465010000</v>
      </c>
      <c r="C65" s="1">
        <v>2522286622</v>
      </c>
      <c r="D65" s="1"/>
      <c r="E65" s="1">
        <v>1</v>
      </c>
      <c r="F65" s="1">
        <v>0.97729178694426799</v>
      </c>
      <c r="G65" s="1">
        <v>2.27082130557326E-2</v>
      </c>
      <c r="H65" s="1">
        <v>21.43</v>
      </c>
    </row>
    <row r="66" spans="1:8" ht="14.25" customHeight="1">
      <c r="A66" s="2" t="s">
        <v>0</v>
      </c>
      <c r="B66" s="1">
        <v>84971193700</v>
      </c>
      <c r="C66" s="1">
        <v>95559680000</v>
      </c>
      <c r="D66" s="1"/>
      <c r="E66" s="1">
        <v>2</v>
      </c>
      <c r="F66" s="1">
        <v>0.88919504230236002</v>
      </c>
      <c r="G66" s="1">
        <v>0.11080495769764</v>
      </c>
      <c r="H66" s="1">
        <v>46</v>
      </c>
    </row>
    <row r="67" spans="1:8" ht="14.25" customHeight="1">
      <c r="A67" s="2" t="s">
        <v>0</v>
      </c>
      <c r="B67" s="1">
        <v>11894640000</v>
      </c>
      <c r="C67" s="1">
        <v>12068000000</v>
      </c>
      <c r="D67" s="1"/>
      <c r="E67" s="1">
        <v>1</v>
      </c>
      <c r="F67" s="1">
        <v>0.98563473649320499</v>
      </c>
      <c r="G67" s="1">
        <v>1.43652635067948E-2</v>
      </c>
      <c r="H67" s="1">
        <v>43</v>
      </c>
    </row>
    <row r="68" spans="1:8" ht="14.25" customHeight="1">
      <c r="A68" s="2" t="s">
        <v>8</v>
      </c>
      <c r="B68" s="1">
        <v>20085694000</v>
      </c>
      <c r="C68" s="1">
        <v>22434544588.860001</v>
      </c>
      <c r="D68" s="1"/>
      <c r="E68" s="1">
        <v>2</v>
      </c>
      <c r="F68" s="1">
        <v>0.89530206064328399</v>
      </c>
      <c r="G68" s="1">
        <v>0.10469793935671599</v>
      </c>
      <c r="H68" s="1">
        <v>39</v>
      </c>
    </row>
    <row r="69" spans="1:8" ht="14.25" customHeight="1">
      <c r="A69" s="2" t="s">
        <v>8</v>
      </c>
      <c r="B69" s="1">
        <v>11579095000</v>
      </c>
      <c r="C69" s="1">
        <v>12449426066.51</v>
      </c>
      <c r="D69" s="1"/>
      <c r="E69" s="1">
        <v>1</v>
      </c>
      <c r="F69" s="1">
        <v>0.93009066748456304</v>
      </c>
      <c r="G69" s="1">
        <v>6.9909332515437295E-2</v>
      </c>
      <c r="H69" s="1">
        <v>43</v>
      </c>
    </row>
    <row r="70" spans="1:8" ht="14.25" customHeight="1">
      <c r="A70" s="2" t="s">
        <v>0</v>
      </c>
      <c r="B70" s="1">
        <v>57971000000</v>
      </c>
      <c r="C70" s="1">
        <v>63434000000</v>
      </c>
      <c r="D70" s="1"/>
      <c r="E70" s="1">
        <v>2</v>
      </c>
      <c r="F70" s="1">
        <v>0.91387899233849401</v>
      </c>
      <c r="G70" s="1">
        <v>8.6121007661506405E-2</v>
      </c>
      <c r="H70" s="1">
        <v>39</v>
      </c>
    </row>
    <row r="71" spans="1:8" ht="14.25" customHeight="1">
      <c r="A71" s="2" t="s">
        <v>8</v>
      </c>
      <c r="B71" s="1">
        <v>4191015000</v>
      </c>
      <c r="C71" s="1">
        <v>4289792000</v>
      </c>
      <c r="D71" s="1"/>
      <c r="E71" s="1">
        <v>1</v>
      </c>
      <c r="F71" s="1">
        <v>0.97697394186011799</v>
      </c>
      <c r="G71" s="1">
        <v>2.3026058139881799E-2</v>
      </c>
      <c r="H71" s="1">
        <v>39.29</v>
      </c>
    </row>
    <row r="72" spans="1:8" ht="14.25" customHeight="1">
      <c r="A72" s="2" t="s">
        <v>8</v>
      </c>
      <c r="B72" s="1">
        <v>2755340000</v>
      </c>
      <c r="C72" s="1">
        <v>2800530000</v>
      </c>
      <c r="D72" s="1"/>
      <c r="E72" s="1">
        <v>2</v>
      </c>
      <c r="F72" s="1">
        <v>0.98386376864379199</v>
      </c>
      <c r="G72" s="1">
        <v>1.6136231356207599E-2</v>
      </c>
      <c r="H72" s="1">
        <v>57</v>
      </c>
    </row>
    <row r="73" spans="1:8" ht="14.25" customHeight="1">
      <c r="A73" s="2" t="s">
        <v>8</v>
      </c>
      <c r="B73" s="1">
        <v>1835000000</v>
      </c>
      <c r="C73" s="1">
        <v>1866277657.73</v>
      </c>
      <c r="D73" s="1"/>
      <c r="E73" s="1">
        <v>1</v>
      </c>
      <c r="F73" s="1">
        <v>0.98324061931489704</v>
      </c>
      <c r="G73" s="1">
        <v>1.6759380685103301E-2</v>
      </c>
      <c r="H73" s="1">
        <v>53.57</v>
      </c>
    </row>
    <row r="74" spans="1:8" ht="14.25" customHeight="1">
      <c r="A74" s="2" t="s">
        <v>8</v>
      </c>
      <c r="B74" s="1">
        <v>1870000000</v>
      </c>
      <c r="C74" s="1">
        <v>1830000000</v>
      </c>
      <c r="D74" s="1"/>
      <c r="E74" s="1">
        <v>1</v>
      </c>
      <c r="F74" s="1">
        <v>1.02185792349727</v>
      </c>
      <c r="G74" s="1">
        <v>-2.1857923497267801E-2</v>
      </c>
      <c r="H74" s="1">
        <v>39</v>
      </c>
    </row>
    <row r="75" spans="1:8" ht="14.25" customHeight="1">
      <c r="A75" s="2" t="s">
        <v>8</v>
      </c>
      <c r="B75" s="1">
        <v>700345500</v>
      </c>
      <c r="C75" s="1">
        <v>762961000</v>
      </c>
      <c r="D75" s="1"/>
      <c r="E75" s="1">
        <v>1</v>
      </c>
      <c r="F75" s="1">
        <v>0.91793092962811995</v>
      </c>
      <c r="G75" s="1">
        <v>8.2069070371880007E-2</v>
      </c>
      <c r="H75" s="1">
        <v>42.86</v>
      </c>
    </row>
    <row r="76" spans="1:8" ht="14.25" customHeight="1">
      <c r="A76" s="2" t="s">
        <v>8</v>
      </c>
      <c r="B76" s="1">
        <v>1395350000</v>
      </c>
      <c r="C76" s="1">
        <v>1488370708.6900001</v>
      </c>
      <c r="D76" s="1"/>
      <c r="E76" s="1">
        <v>1</v>
      </c>
      <c r="F76" s="1">
        <v>0.93750165321926204</v>
      </c>
      <c r="G76" s="1">
        <v>6.24983467807377E-2</v>
      </c>
      <c r="H76" s="1">
        <v>35.71</v>
      </c>
    </row>
    <row r="77" spans="1:8" ht="14.25" customHeight="1">
      <c r="A77" s="2" t="s">
        <v>8</v>
      </c>
      <c r="B77" s="1">
        <v>34100000000</v>
      </c>
      <c r="C77" s="1">
        <v>38970384489.459999</v>
      </c>
      <c r="D77" s="1"/>
      <c r="E77" s="1">
        <v>1</v>
      </c>
      <c r="F77" s="1">
        <v>0.87502344271770605</v>
      </c>
      <c r="G77" s="1">
        <v>0.124976557282294</v>
      </c>
      <c r="H77" s="1">
        <v>54</v>
      </c>
    </row>
    <row r="78" spans="1:8" ht="14.25" customHeight="1">
      <c r="A78" s="2" t="s">
        <v>0</v>
      </c>
      <c r="B78" s="1">
        <v>48252997800</v>
      </c>
      <c r="C78" s="1">
        <v>48404019000</v>
      </c>
      <c r="D78" s="1">
        <v>16</v>
      </c>
      <c r="E78" s="1">
        <v>1</v>
      </c>
      <c r="F78" s="1">
        <v>0.99687998634989405</v>
      </c>
      <c r="G78" s="1">
        <v>3.1200136501061699E-3</v>
      </c>
      <c r="H78" s="1">
        <v>46</v>
      </c>
    </row>
    <row r="79" spans="1:8" ht="14.25" customHeight="1">
      <c r="A79" s="2" t="s">
        <v>8</v>
      </c>
      <c r="B79" s="1">
        <v>1517952291</v>
      </c>
      <c r="C79" s="1">
        <v>1852935247.99</v>
      </c>
      <c r="D79" s="1"/>
      <c r="E79" s="1">
        <v>1</v>
      </c>
      <c r="F79" s="1">
        <v>0.81921496860002097</v>
      </c>
      <c r="G79" s="1">
        <v>0.18078503139997901</v>
      </c>
      <c r="H79" s="1">
        <v>46.43</v>
      </c>
    </row>
    <row r="80" spans="1:8" ht="14.25" customHeight="1">
      <c r="A80" s="2" t="s">
        <v>8</v>
      </c>
      <c r="B80" s="1">
        <v>50010000000</v>
      </c>
      <c r="C80" s="1">
        <v>53804492733.110001</v>
      </c>
      <c r="D80" s="1"/>
      <c r="E80" s="1">
        <v>1</v>
      </c>
      <c r="F80" s="1">
        <v>0.92947628459333198</v>
      </c>
      <c r="G80" s="1">
        <v>7.05237154066682E-2</v>
      </c>
      <c r="H80" s="1">
        <v>57.14</v>
      </c>
    </row>
    <row r="81" spans="1:8" ht="14.25" customHeight="1">
      <c r="A81" s="2" t="s">
        <v>8</v>
      </c>
      <c r="B81" s="1">
        <v>19050000000</v>
      </c>
      <c r="C81" s="1">
        <v>19851492081.389999</v>
      </c>
      <c r="D81" s="1"/>
      <c r="E81" s="1">
        <v>1</v>
      </c>
      <c r="F81" s="1">
        <v>0.95962560002523101</v>
      </c>
      <c r="G81" s="1">
        <v>4.0374399974769E-2</v>
      </c>
      <c r="H81" s="1">
        <v>50</v>
      </c>
    </row>
    <row r="82" spans="1:8" ht="14.25" customHeight="1">
      <c r="A82" s="2" t="s">
        <v>0</v>
      </c>
      <c r="B82" s="1">
        <v>21840000008</v>
      </c>
      <c r="C82" s="1">
        <v>23743000000</v>
      </c>
      <c r="D82" s="1">
        <v>56</v>
      </c>
      <c r="E82" s="1">
        <v>1</v>
      </c>
      <c r="F82" s="1">
        <v>0.91985006140757297</v>
      </c>
      <c r="G82" s="1">
        <v>8.0149938592427195E-2</v>
      </c>
      <c r="H82" s="1">
        <v>50</v>
      </c>
    </row>
    <row r="83" spans="1:8" ht="14.25" customHeight="1">
      <c r="A83" s="2" t="s">
        <v>0</v>
      </c>
      <c r="B83" s="1">
        <v>31797643518</v>
      </c>
      <c r="C83" s="1">
        <v>34191000000</v>
      </c>
      <c r="D83" s="1">
        <v>20</v>
      </c>
      <c r="E83" s="1">
        <v>1</v>
      </c>
      <c r="F83" s="1">
        <v>0.93000039536720203</v>
      </c>
      <c r="G83" s="1">
        <v>6.9999604632798099E-2</v>
      </c>
      <c r="H83" s="1">
        <v>32</v>
      </c>
    </row>
    <row r="84" spans="1:8" ht="14.25" customHeight="1">
      <c r="A84" s="2" t="s">
        <v>0</v>
      </c>
      <c r="B84" s="1">
        <v>71341710000</v>
      </c>
      <c r="C84" s="1">
        <v>70685000000</v>
      </c>
      <c r="D84" s="1">
        <v>10</v>
      </c>
      <c r="E84" s="1">
        <v>1</v>
      </c>
      <c r="F84" s="1">
        <v>1.0092906557261101</v>
      </c>
      <c r="G84" s="1">
        <v>-9.29065572610876E-3</v>
      </c>
      <c r="H84" s="1">
        <v>46</v>
      </c>
    </row>
    <row r="85" spans="1:8" ht="14.25" customHeight="1">
      <c r="A85" s="2" t="s">
        <v>0</v>
      </c>
      <c r="B85" s="1">
        <v>376000000000</v>
      </c>
      <c r="C85" s="1">
        <v>398831000000</v>
      </c>
      <c r="D85" s="1">
        <v>76</v>
      </c>
      <c r="E85" s="1">
        <v>3</v>
      </c>
      <c r="F85" s="1">
        <v>0.94275520207807295</v>
      </c>
      <c r="G85" s="1">
        <v>5.7244797921926799E-2</v>
      </c>
      <c r="H85" s="1">
        <v>39.29</v>
      </c>
    </row>
    <row r="86" spans="1:8" ht="14.25" customHeight="1">
      <c r="A86" s="2" t="s">
        <v>0</v>
      </c>
      <c r="B86" s="1">
        <v>13022521000</v>
      </c>
      <c r="C86" s="1">
        <v>17559926000</v>
      </c>
      <c r="D86" s="1">
        <v>19</v>
      </c>
      <c r="E86" s="1">
        <v>1</v>
      </c>
      <c r="F86" s="1">
        <v>0.74160454890299599</v>
      </c>
      <c r="G86" s="1">
        <v>0.25839545109700301</v>
      </c>
      <c r="H86" s="1">
        <v>46</v>
      </c>
    </row>
    <row r="87" spans="1:8" ht="14.25" customHeight="1">
      <c r="A87" s="2" t="s">
        <v>0</v>
      </c>
      <c r="B87" s="1">
        <v>9086520000</v>
      </c>
      <c r="C87" s="1">
        <v>9880578000</v>
      </c>
      <c r="D87" s="1">
        <v>16</v>
      </c>
      <c r="E87" s="1">
        <v>1</v>
      </c>
      <c r="F87" s="1">
        <v>0.91963445863187399</v>
      </c>
      <c r="G87" s="1">
        <v>8.0365541368126403E-2</v>
      </c>
      <c r="H87" s="1">
        <v>39</v>
      </c>
    </row>
    <row r="88" spans="1:8" ht="14.25" customHeight="1">
      <c r="A88" s="2" t="s">
        <v>0</v>
      </c>
      <c r="B88" s="1">
        <v>2685343000</v>
      </c>
      <c r="C88" s="1">
        <v>2918658000</v>
      </c>
      <c r="D88" s="1">
        <v>55</v>
      </c>
      <c r="E88" s="1">
        <v>1</v>
      </c>
      <c r="F88" s="1">
        <v>0.920060863588677</v>
      </c>
      <c r="G88" s="1">
        <v>7.9939136411323303E-2</v>
      </c>
      <c r="H88" s="1">
        <v>57</v>
      </c>
    </row>
    <row r="89" spans="1:8" ht="14.25" customHeight="1">
      <c r="A89" s="2" t="s">
        <v>0</v>
      </c>
      <c r="B89" s="1">
        <v>49013028000</v>
      </c>
      <c r="C89" s="1">
        <v>61266285000</v>
      </c>
      <c r="D89" s="1">
        <v>18</v>
      </c>
      <c r="E89" s="1">
        <v>1</v>
      </c>
      <c r="F89" s="1">
        <v>0.8</v>
      </c>
      <c r="G89" s="1">
        <v>0.2</v>
      </c>
      <c r="H89" s="1">
        <v>57</v>
      </c>
    </row>
    <row r="90" spans="1:8" ht="14.25" customHeight="1">
      <c r="A90" s="2" t="s">
        <v>0</v>
      </c>
      <c r="B90" s="1">
        <v>2077630672</v>
      </c>
      <c r="C90" s="1">
        <v>2347410893</v>
      </c>
      <c r="D90" s="1">
        <v>19</v>
      </c>
      <c r="E90" s="1">
        <v>1</v>
      </c>
      <c r="F90" s="1">
        <v>0.88507328571896504</v>
      </c>
      <c r="G90" s="1">
        <v>0.114926714281035</v>
      </c>
      <c r="H90" s="1">
        <v>46</v>
      </c>
    </row>
    <row r="91" spans="1:8" ht="14.25" customHeight="1">
      <c r="A91" s="2" t="s">
        <v>0</v>
      </c>
      <c r="B91" s="1">
        <v>382453582</v>
      </c>
      <c r="C91" s="1">
        <v>478066978.07999998</v>
      </c>
      <c r="D91" s="1">
        <v>31</v>
      </c>
      <c r="E91" s="1">
        <v>1</v>
      </c>
      <c r="F91" s="1">
        <v>0.79999999902942498</v>
      </c>
      <c r="G91" s="1">
        <v>0.20000000097057499</v>
      </c>
      <c r="H91" s="1">
        <v>46.43</v>
      </c>
    </row>
    <row r="92" spans="1:8" ht="14.25" customHeight="1">
      <c r="A92" s="2" t="s">
        <v>0</v>
      </c>
      <c r="B92" s="1">
        <v>64064958000</v>
      </c>
      <c r="C92" s="1">
        <v>65711641459</v>
      </c>
      <c r="D92" s="1">
        <v>24</v>
      </c>
      <c r="E92" s="1">
        <v>1</v>
      </c>
      <c r="F92" s="1">
        <v>0.974940765099782</v>
      </c>
      <c r="G92" s="1">
        <v>2.5059234900218198E-2</v>
      </c>
      <c r="H92" s="1">
        <v>54</v>
      </c>
    </row>
    <row r="93" spans="1:8" ht="14.25" customHeight="1">
      <c r="A93" s="2" t="s">
        <v>0</v>
      </c>
      <c r="B93" s="1">
        <v>55044889000</v>
      </c>
      <c r="C93" s="1">
        <v>58633244000</v>
      </c>
      <c r="D93" s="1">
        <v>17</v>
      </c>
      <c r="E93" s="1">
        <v>1</v>
      </c>
      <c r="F93" s="1">
        <v>0.93879999203182396</v>
      </c>
      <c r="G93" s="1">
        <v>6.1200007968175797E-2</v>
      </c>
      <c r="H93" s="1">
        <v>50</v>
      </c>
    </row>
    <row r="94" spans="1:8" ht="14.25" customHeight="1">
      <c r="A94" s="2" t="s">
        <v>8</v>
      </c>
      <c r="B94" s="1">
        <v>884990000</v>
      </c>
      <c r="C94" s="1">
        <v>931254181.82000005</v>
      </c>
      <c r="D94" s="1">
        <v>12</v>
      </c>
      <c r="E94" s="1">
        <v>1</v>
      </c>
      <c r="F94" s="1">
        <v>0.95032056475753601</v>
      </c>
      <c r="G94" s="1">
        <v>4.9679435242463502E-2</v>
      </c>
      <c r="H94" s="1">
        <v>28.57</v>
      </c>
    </row>
    <row r="95" spans="1:8" ht="14.25" customHeight="1">
      <c r="A95" s="2" t="s">
        <v>0</v>
      </c>
      <c r="B95" s="1">
        <v>7942376000</v>
      </c>
      <c r="C95" s="1">
        <v>7938754000</v>
      </c>
      <c r="D95" s="1">
        <v>20</v>
      </c>
      <c r="E95" s="1">
        <v>1</v>
      </c>
      <c r="F95" s="1">
        <v>1.0004562428814401</v>
      </c>
      <c r="G95" s="1">
        <v>-4.5624288143963898E-4</v>
      </c>
      <c r="H95" s="1">
        <v>39.29</v>
      </c>
    </row>
    <row r="96" spans="1:8" ht="14.25" customHeight="1">
      <c r="A96" s="2" t="s">
        <v>0</v>
      </c>
      <c r="B96" s="1">
        <v>31961356263</v>
      </c>
      <c r="C96" s="1">
        <v>34359195000</v>
      </c>
      <c r="D96" s="1">
        <v>19</v>
      </c>
      <c r="E96" s="1">
        <v>1</v>
      </c>
      <c r="F96" s="1">
        <v>0.93021260431159702</v>
      </c>
      <c r="G96" s="1">
        <v>6.97873956884031E-2</v>
      </c>
      <c r="H96" s="1">
        <v>43</v>
      </c>
    </row>
    <row r="97" spans="1:8" ht="14.25" customHeight="1">
      <c r="A97" s="2" t="s">
        <v>8</v>
      </c>
      <c r="B97" s="1">
        <v>9955000000</v>
      </c>
      <c r="C97" s="1">
        <v>10295500000</v>
      </c>
      <c r="D97" s="1">
        <v>15</v>
      </c>
      <c r="E97" s="1">
        <v>1</v>
      </c>
      <c r="F97" s="1">
        <v>0.96692729833422397</v>
      </c>
      <c r="G97" s="1">
        <v>3.3072701665776402E-2</v>
      </c>
      <c r="H97" s="1">
        <v>32.14</v>
      </c>
    </row>
    <row r="98" spans="1:8" ht="14.25" customHeight="1">
      <c r="A98" s="2" t="s">
        <v>8</v>
      </c>
      <c r="B98" s="1">
        <v>378000000</v>
      </c>
      <c r="C98" s="1">
        <v>395500000</v>
      </c>
      <c r="D98" s="1">
        <v>10</v>
      </c>
      <c r="E98" s="1">
        <v>1</v>
      </c>
      <c r="F98" s="1">
        <v>0.95575221238938102</v>
      </c>
      <c r="G98" s="1">
        <v>4.4247787610619399E-2</v>
      </c>
      <c r="H98" s="1">
        <v>33</v>
      </c>
    </row>
    <row r="99" spans="1:8" ht="14.25" customHeight="1">
      <c r="A99" s="2" t="s">
        <v>8</v>
      </c>
      <c r="B99" s="1">
        <v>385127000</v>
      </c>
      <c r="C99" s="1">
        <v>395500000</v>
      </c>
      <c r="D99" s="1">
        <v>10</v>
      </c>
      <c r="E99" s="1">
        <v>1</v>
      </c>
      <c r="F99" s="1">
        <v>0.97377243994943097</v>
      </c>
      <c r="G99" s="1">
        <v>2.62275600505689E-2</v>
      </c>
      <c r="H99" s="1">
        <v>21.43</v>
      </c>
    </row>
    <row r="100" spans="1:8" ht="14.25" customHeight="1">
      <c r="A100" s="2" t="s">
        <v>8</v>
      </c>
      <c r="B100" s="1">
        <v>993500000</v>
      </c>
      <c r="C100" s="1">
        <v>1042800000</v>
      </c>
      <c r="D100" s="1">
        <v>15</v>
      </c>
      <c r="E100" s="1">
        <v>1</v>
      </c>
      <c r="F100" s="1">
        <v>0.95272343690065198</v>
      </c>
      <c r="G100" s="1">
        <v>4.7276563099347899E-2</v>
      </c>
      <c r="H100" s="1">
        <v>28.57</v>
      </c>
    </row>
    <row r="101" spans="1:8" ht="14.25" customHeight="1">
      <c r="A101" s="2" t="s">
        <v>8</v>
      </c>
      <c r="B101" s="1">
        <v>1042000000</v>
      </c>
      <c r="C101" s="1">
        <v>1086800000</v>
      </c>
      <c r="D101" s="1">
        <v>15</v>
      </c>
      <c r="E101" s="1">
        <v>1</v>
      </c>
      <c r="F101" s="1">
        <v>0.95877806404122201</v>
      </c>
      <c r="G101" s="1">
        <v>4.12219359587781E-2</v>
      </c>
      <c r="H101" s="1">
        <v>42.86</v>
      </c>
    </row>
    <row r="102" spans="1:8" ht="14.25" customHeight="1">
      <c r="A102" s="2" t="s">
        <v>8</v>
      </c>
      <c r="B102" s="1">
        <v>777000000</v>
      </c>
      <c r="C102" s="1">
        <v>800800000</v>
      </c>
      <c r="D102" s="1">
        <v>15</v>
      </c>
      <c r="E102" s="1">
        <v>1</v>
      </c>
      <c r="F102" s="1">
        <v>0.97027972027971998</v>
      </c>
      <c r="G102" s="1">
        <v>2.9720279720279699E-2</v>
      </c>
      <c r="H102" s="1">
        <v>46</v>
      </c>
    </row>
    <row r="103" spans="1:8" ht="14.25" customHeight="1">
      <c r="A103" s="2" t="s">
        <v>8</v>
      </c>
      <c r="B103" s="1">
        <v>816000000</v>
      </c>
      <c r="C103" s="1">
        <v>838800000</v>
      </c>
      <c r="D103" s="1">
        <v>36</v>
      </c>
      <c r="E103" s="1">
        <v>1</v>
      </c>
      <c r="F103" s="1">
        <v>0.97281831187410595</v>
      </c>
      <c r="G103" s="1">
        <v>2.71816881258942E-2</v>
      </c>
      <c r="H103" s="1">
        <v>43</v>
      </c>
    </row>
    <row r="104" spans="1:8" ht="14.25" customHeight="1">
      <c r="A104" s="2" t="s">
        <v>0</v>
      </c>
      <c r="B104" s="1">
        <v>46130115399</v>
      </c>
      <c r="C104" s="1">
        <v>51389283832</v>
      </c>
      <c r="D104" s="1">
        <v>11</v>
      </c>
      <c r="E104" s="1">
        <v>2</v>
      </c>
      <c r="F104" s="1">
        <v>0.89766021160767495</v>
      </c>
      <c r="G104" s="1">
        <v>0.10233978839232501</v>
      </c>
      <c r="H104" s="1">
        <v>36</v>
      </c>
    </row>
    <row r="105" spans="1:8" ht="14.25" customHeight="1">
      <c r="A105" s="2" t="s">
        <v>0</v>
      </c>
      <c r="B105" s="1">
        <v>33562547023.5</v>
      </c>
      <c r="C105" s="1">
        <v>37691891400</v>
      </c>
      <c r="D105" s="1">
        <v>37</v>
      </c>
      <c r="E105" s="1">
        <v>1</v>
      </c>
      <c r="F105" s="1">
        <v>0.89044475553964897</v>
      </c>
      <c r="G105" s="1">
        <v>0.109555244460351</v>
      </c>
      <c r="H105" s="1">
        <v>43</v>
      </c>
    </row>
    <row r="106" spans="1:8" ht="14.25" customHeight="1">
      <c r="A106" s="2" t="s">
        <v>0</v>
      </c>
      <c r="B106" s="1">
        <v>308159767226.62</v>
      </c>
      <c r="C106" s="1">
        <v>341077616875</v>
      </c>
      <c r="D106" s="1">
        <v>100</v>
      </c>
      <c r="E106" s="1">
        <v>1</v>
      </c>
      <c r="F106" s="1">
        <v>0.90348868404213101</v>
      </c>
      <c r="G106" s="1">
        <v>9.6511315957868604E-2</v>
      </c>
      <c r="H106" s="1">
        <v>68</v>
      </c>
    </row>
    <row r="107" spans="1:8" ht="14.25" customHeight="1">
      <c r="A107" s="2" t="s">
        <v>0</v>
      </c>
      <c r="B107" s="1">
        <v>49750834190</v>
      </c>
      <c r="C107" s="1">
        <v>52288496000</v>
      </c>
      <c r="D107" s="1">
        <v>23</v>
      </c>
      <c r="E107" s="1">
        <v>2</v>
      </c>
      <c r="F107" s="1">
        <v>0.95146806651313898</v>
      </c>
      <c r="G107" s="1">
        <v>4.8531933486861002E-2</v>
      </c>
      <c r="H107" s="1">
        <v>39</v>
      </c>
    </row>
    <row r="108" spans="1:8" ht="14.25" customHeight="1">
      <c r="A108" s="2" t="s">
        <v>8</v>
      </c>
      <c r="B108" s="1">
        <v>297486000</v>
      </c>
      <c r="C108" s="1">
        <v>342004000</v>
      </c>
      <c r="D108" s="1"/>
      <c r="E108" s="1">
        <v>1</v>
      </c>
      <c r="F108" s="1">
        <v>0.86983193179027096</v>
      </c>
      <c r="G108" s="1">
        <v>0.13016806820972901</v>
      </c>
      <c r="H108" s="1">
        <v>46.43</v>
      </c>
    </row>
    <row r="109" spans="1:8" ht="14.25" customHeight="1">
      <c r="A109" s="2" t="s">
        <v>0</v>
      </c>
      <c r="B109" s="1">
        <v>1350000000</v>
      </c>
      <c r="C109" s="1">
        <v>1239000000</v>
      </c>
      <c r="D109" s="1">
        <v>19</v>
      </c>
      <c r="E109" s="1">
        <v>1</v>
      </c>
      <c r="F109" s="1">
        <v>1.0895883777239701</v>
      </c>
      <c r="G109" s="1">
        <v>-8.9588377723971005E-2</v>
      </c>
      <c r="H109" s="1">
        <v>36</v>
      </c>
    </row>
    <row r="110" spans="1:8" ht="14.25" customHeight="1">
      <c r="A110" s="2" t="s">
        <v>8</v>
      </c>
      <c r="B110" s="1">
        <v>11466223000</v>
      </c>
      <c r="C110" s="1">
        <v>11422833389</v>
      </c>
      <c r="D110" s="1">
        <v>17</v>
      </c>
      <c r="E110" s="1">
        <v>1</v>
      </c>
      <c r="F110" s="1">
        <v>1.0037984981065899</v>
      </c>
      <c r="G110" s="1">
        <v>-3.7984981065890501E-3</v>
      </c>
      <c r="H110" s="1">
        <v>68</v>
      </c>
    </row>
    <row r="111" spans="1:8" ht="14.25" customHeight="1">
      <c r="A111" s="2" t="s">
        <v>0</v>
      </c>
      <c r="B111" s="1">
        <v>86436648000</v>
      </c>
      <c r="C111" s="1">
        <v>86202424983</v>
      </c>
      <c r="D111" s="1">
        <v>26</v>
      </c>
      <c r="E111" s="1">
        <v>2</v>
      </c>
      <c r="F111" s="1">
        <v>1.0027171279351601</v>
      </c>
      <c r="G111" s="1">
        <v>-2.71712793516188E-3</v>
      </c>
      <c r="H111" s="1">
        <v>39</v>
      </c>
    </row>
    <row r="112" spans="1:8" ht="14.25" customHeight="1">
      <c r="A112" s="2" t="s">
        <v>0</v>
      </c>
      <c r="B112" s="1">
        <v>72793000000</v>
      </c>
      <c r="C112" s="1">
        <v>72793000000</v>
      </c>
      <c r="D112" s="1">
        <v>14</v>
      </c>
      <c r="E112" s="1">
        <v>2</v>
      </c>
      <c r="F112" s="1">
        <v>1</v>
      </c>
      <c r="G112" s="1">
        <v>0</v>
      </c>
      <c r="H112" s="1">
        <v>50</v>
      </c>
    </row>
    <row r="113" spans="1:8" ht="14.25" customHeight="1">
      <c r="A113" s="2" t="s">
        <v>0</v>
      </c>
      <c r="B113" s="1">
        <v>5708100000</v>
      </c>
      <c r="C113" s="1">
        <v>5708085619</v>
      </c>
      <c r="D113" s="1">
        <v>40</v>
      </c>
      <c r="E113" s="1">
        <v>1</v>
      </c>
      <c r="F113" s="1">
        <v>1.0000025194086</v>
      </c>
      <c r="G113" s="1">
        <v>-2.5194086004098901E-6</v>
      </c>
      <c r="H113" s="1">
        <v>46</v>
      </c>
    </row>
    <row r="114" spans="1:8" ht="14.25" customHeight="1">
      <c r="A114" s="2" t="s">
        <v>0</v>
      </c>
      <c r="B114" s="1">
        <v>19513000000</v>
      </c>
      <c r="C114" s="1">
        <v>19513000000</v>
      </c>
      <c r="D114" s="1">
        <v>8</v>
      </c>
      <c r="E114" s="1">
        <v>1</v>
      </c>
      <c r="F114" s="1">
        <v>1</v>
      </c>
      <c r="G114" s="1">
        <v>0</v>
      </c>
      <c r="H114" s="1">
        <v>36</v>
      </c>
    </row>
    <row r="115" spans="1:8" ht="14.25" customHeight="1">
      <c r="A115" s="2" t="s">
        <v>0</v>
      </c>
      <c r="B115" s="1">
        <v>19343829000</v>
      </c>
      <c r="C115" s="1">
        <v>19343731316</v>
      </c>
      <c r="D115" s="1">
        <v>13</v>
      </c>
      <c r="E115" s="1">
        <v>1</v>
      </c>
      <c r="F115" s="1">
        <v>1.0000050499047199</v>
      </c>
      <c r="G115" s="1">
        <v>-5.04990471617006E-6</v>
      </c>
      <c r="H115" s="1">
        <v>50</v>
      </c>
    </row>
    <row r="116" spans="1:8" ht="14.25" customHeight="1">
      <c r="A116" s="2" t="s">
        <v>0</v>
      </c>
      <c r="B116" s="1">
        <v>67301206016</v>
      </c>
      <c r="C116" s="1">
        <v>73794000091</v>
      </c>
      <c r="D116" s="1">
        <v>13</v>
      </c>
      <c r="E116" s="1">
        <v>1</v>
      </c>
      <c r="F116" s="1">
        <v>0.91201460732588902</v>
      </c>
      <c r="G116" s="1">
        <v>8.7985392674110804E-2</v>
      </c>
      <c r="H116" s="1">
        <v>46</v>
      </c>
    </row>
    <row r="117" spans="1:8" ht="14.25" customHeight="1">
      <c r="A117" s="2" t="s">
        <v>0</v>
      </c>
      <c r="B117" s="1">
        <v>135465654000</v>
      </c>
      <c r="C117" s="1">
        <v>35746881900</v>
      </c>
      <c r="D117" s="1">
        <v>23</v>
      </c>
      <c r="E117" s="1">
        <v>1</v>
      </c>
      <c r="F117" s="1">
        <v>3.7895795884787402</v>
      </c>
      <c r="G117" s="1">
        <v>-2.7895795884787402</v>
      </c>
      <c r="H117" s="1">
        <v>61</v>
      </c>
    </row>
    <row r="118" spans="1:8" ht="14.25" customHeight="1">
      <c r="A118" s="2" t="s">
        <v>0</v>
      </c>
      <c r="B118" s="1">
        <v>55026180000</v>
      </c>
      <c r="C118" s="1">
        <v>55021000000</v>
      </c>
      <c r="D118" s="1">
        <v>13</v>
      </c>
      <c r="E118" s="1">
        <v>1</v>
      </c>
      <c r="F118" s="1">
        <v>1.00009414587158</v>
      </c>
      <c r="G118" s="1">
        <v>-9.4145871576412104E-5</v>
      </c>
      <c r="H118" s="1">
        <v>54</v>
      </c>
    </row>
    <row r="119" spans="1:8" ht="14.25" customHeight="1">
      <c r="A119" s="2" t="s">
        <v>8</v>
      </c>
      <c r="B119" s="1">
        <v>6889179650</v>
      </c>
      <c r="C119" s="1">
        <v>7064932958</v>
      </c>
      <c r="D119" s="1">
        <v>13</v>
      </c>
      <c r="E119" s="1">
        <v>1</v>
      </c>
      <c r="F119" s="1">
        <v>0.97512314567670699</v>
      </c>
      <c r="G119" s="1">
        <v>2.4876854323293299E-2</v>
      </c>
      <c r="H119" s="1">
        <v>60.71</v>
      </c>
    </row>
    <row r="120" spans="1:8" ht="14.25" customHeight="1">
      <c r="A120" s="2" t="s">
        <v>8</v>
      </c>
      <c r="B120" s="1">
        <v>4060859000</v>
      </c>
      <c r="C120" s="1">
        <v>4252294484</v>
      </c>
      <c r="D120" s="1">
        <v>21</v>
      </c>
      <c r="E120" s="1">
        <v>1</v>
      </c>
      <c r="F120" s="1">
        <v>0.95498066168269602</v>
      </c>
      <c r="G120" s="1">
        <v>4.5019338317303599E-2</v>
      </c>
      <c r="H120" s="1">
        <v>50</v>
      </c>
    </row>
    <row r="121" spans="1:8" ht="14.25" customHeight="1">
      <c r="A121" s="2" t="s">
        <v>0</v>
      </c>
      <c r="B121" s="1">
        <v>4790286700</v>
      </c>
      <c r="C121" s="1">
        <v>4798000458</v>
      </c>
      <c r="D121" s="1">
        <v>18</v>
      </c>
      <c r="E121" s="1">
        <v>1</v>
      </c>
      <c r="F121" s="1">
        <v>0.99839229736063495</v>
      </c>
      <c r="G121" s="1">
        <v>1.6077026393648301E-3</v>
      </c>
      <c r="H121" s="1">
        <v>46.43</v>
      </c>
    </row>
    <row r="122" spans="1:8" ht="14.25" customHeight="1">
      <c r="A122" s="2" t="s">
        <v>0</v>
      </c>
      <c r="B122" s="1">
        <v>1790840000</v>
      </c>
      <c r="C122" s="1">
        <v>1790976169</v>
      </c>
      <c r="D122" s="1">
        <v>15</v>
      </c>
      <c r="E122" s="1">
        <v>1</v>
      </c>
      <c r="F122" s="1">
        <v>0.99992396939593198</v>
      </c>
      <c r="G122" s="1">
        <v>7.6030604067689494E-5</v>
      </c>
      <c r="H122" s="1">
        <v>42.86</v>
      </c>
    </row>
    <row r="123" spans="1:8" ht="14.25" customHeight="1">
      <c r="A123" s="2" t="s">
        <v>0</v>
      </c>
      <c r="B123" s="1">
        <v>1884200000</v>
      </c>
      <c r="C123" s="1">
        <v>1842778042</v>
      </c>
      <c r="D123" s="1">
        <v>36</v>
      </c>
      <c r="E123" s="1">
        <v>1</v>
      </c>
      <c r="F123" s="1">
        <v>1.0224779962946799</v>
      </c>
      <c r="G123" s="1">
        <v>-2.24779962946835E-2</v>
      </c>
      <c r="H123" s="1">
        <v>46.43</v>
      </c>
    </row>
    <row r="124" spans="1:8" ht="14.25" customHeight="1">
      <c r="A124" s="2" t="s">
        <v>0</v>
      </c>
      <c r="B124" s="1">
        <v>219403893884</v>
      </c>
      <c r="C124" s="1">
        <v>219285282174</v>
      </c>
      <c r="D124" s="1">
        <v>21</v>
      </c>
      <c r="E124" s="1">
        <v>2</v>
      </c>
      <c r="F124" s="1">
        <v>1.0005409013720601</v>
      </c>
      <c r="G124" s="1">
        <v>-5.4090137205786704E-4</v>
      </c>
      <c r="H124" s="1">
        <v>68</v>
      </c>
    </row>
    <row r="125" spans="1:8" ht="14.25" customHeight="1">
      <c r="A125" s="2" t="s">
        <v>0</v>
      </c>
      <c r="B125" s="1">
        <v>8325000000</v>
      </c>
      <c r="C125" s="1">
        <v>8324445000</v>
      </c>
      <c r="D125" s="1">
        <v>12</v>
      </c>
      <c r="E125" s="1">
        <v>1</v>
      </c>
      <c r="F125" s="1">
        <v>1.0000666711114099</v>
      </c>
      <c r="G125" s="1">
        <v>-6.6671111407457003E-5</v>
      </c>
      <c r="H125" s="1">
        <v>57</v>
      </c>
    </row>
    <row r="126" spans="1:8" ht="14.25" customHeight="1">
      <c r="A126" s="2" t="s">
        <v>0</v>
      </c>
      <c r="B126" s="1">
        <v>95756960000</v>
      </c>
      <c r="C126" s="1">
        <v>95757000000</v>
      </c>
      <c r="D126" s="1">
        <v>9</v>
      </c>
      <c r="E126" s="1">
        <v>1</v>
      </c>
      <c r="F126" s="1">
        <v>0.99999958227596897</v>
      </c>
      <c r="G126" s="1">
        <v>4.1772403058803999E-7</v>
      </c>
      <c r="H126" s="1">
        <v>43</v>
      </c>
    </row>
    <row r="127" spans="1:8" ht="14.25" customHeight="1">
      <c r="A127" s="2" t="s">
        <v>0</v>
      </c>
      <c r="B127" s="1">
        <v>205292800000</v>
      </c>
      <c r="C127" s="1">
        <v>205292857000</v>
      </c>
      <c r="D127" s="1">
        <v>27</v>
      </c>
      <c r="E127" s="1">
        <v>2</v>
      </c>
      <c r="F127" s="1">
        <v>0.99999972234786505</v>
      </c>
      <c r="G127" s="1">
        <v>2.7765213472807899E-7</v>
      </c>
      <c r="H127" s="1">
        <v>71</v>
      </c>
    </row>
    <row r="128" spans="1:8" ht="14.25" customHeight="1">
      <c r="A128" s="2" t="s">
        <v>0</v>
      </c>
      <c r="B128" s="1">
        <v>106546700000</v>
      </c>
      <c r="C128" s="1">
        <v>106546733000</v>
      </c>
      <c r="D128" s="1">
        <v>17</v>
      </c>
      <c r="E128" s="1">
        <v>2</v>
      </c>
      <c r="F128" s="1">
        <v>0.99999969027675395</v>
      </c>
      <c r="G128" s="1">
        <v>3.0972324605027502E-7</v>
      </c>
      <c r="H128" s="1">
        <v>64</v>
      </c>
    </row>
    <row r="129" spans="1:8" ht="14.25" customHeight="1">
      <c r="A129" s="2" t="s">
        <v>0</v>
      </c>
      <c r="B129" s="1">
        <v>135465654000</v>
      </c>
      <c r="C129" s="1">
        <v>135746881900</v>
      </c>
      <c r="D129" s="1">
        <v>23</v>
      </c>
      <c r="E129" s="1">
        <v>2</v>
      </c>
      <c r="F129" s="1">
        <v>0.99792829200889399</v>
      </c>
      <c r="G129" s="1">
        <v>2.0717079911063401E-3</v>
      </c>
      <c r="H129" s="1">
        <v>50</v>
      </c>
    </row>
    <row r="130" spans="1:8" ht="14.25" customHeight="1">
      <c r="A130" s="2" t="s">
        <v>0</v>
      </c>
      <c r="B130" s="1">
        <v>92062382700</v>
      </c>
      <c r="C130" s="1">
        <v>92035430617</v>
      </c>
      <c r="D130" s="1">
        <v>14</v>
      </c>
      <c r="E130" s="1">
        <v>2</v>
      </c>
      <c r="F130" s="1">
        <v>1.00029284464493</v>
      </c>
      <c r="G130" s="1">
        <v>-2.92844644929735E-4</v>
      </c>
      <c r="H130" s="1">
        <v>50</v>
      </c>
    </row>
    <row r="131" spans="1:8" ht="14.25" customHeight="1">
      <c r="A131" s="2" t="s">
        <v>0</v>
      </c>
      <c r="B131" s="1">
        <v>1650000000</v>
      </c>
      <c r="C131" s="1">
        <v>1650000000</v>
      </c>
      <c r="D131" s="1">
        <v>17</v>
      </c>
      <c r="E131" s="1">
        <v>1</v>
      </c>
      <c r="F131" s="1">
        <v>1</v>
      </c>
      <c r="G131" s="1">
        <v>0</v>
      </c>
      <c r="H131" s="1">
        <v>56</v>
      </c>
    </row>
    <row r="132" spans="1:8" ht="14.25" customHeight="1"/>
    <row r="133" spans="1:8" ht="14.25" customHeight="1"/>
    <row r="134" spans="1:8" ht="14.25" customHeight="1"/>
    <row r="135" spans="1:8" ht="14.25" customHeight="1"/>
    <row r="136" spans="1:8" ht="14.25" customHeight="1"/>
    <row r="137" spans="1:8" ht="14.25" customHeight="1"/>
    <row r="138" spans="1:8" ht="14.25" customHeight="1"/>
    <row r="139" spans="1:8" ht="14.25" customHeight="1"/>
    <row r="140" spans="1:8" ht="14.25" customHeight="1"/>
    <row r="141" spans="1:8" ht="14.25" customHeight="1"/>
    <row r="142" spans="1:8" ht="14.25" customHeight="1"/>
    <row r="143" spans="1:8" ht="14.25" customHeight="1"/>
    <row r="144" spans="1:8"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topLeftCell="O1" workbookViewId="0">
      <selection activeCell="T2" sqref="T2"/>
    </sheetView>
  </sheetViews>
  <sheetFormatPr defaultColWidth="12.5703125" defaultRowHeight="15" customHeight="1"/>
  <cols>
    <col min="1" max="1" width="42.85546875" customWidth="1"/>
    <col min="2" max="2" width="16.7109375" customWidth="1"/>
    <col min="3" max="3" width="24.42578125" customWidth="1"/>
    <col min="4" max="4" width="28.140625" customWidth="1"/>
    <col min="5" max="5" width="26.42578125" customWidth="1"/>
    <col min="6" max="6" width="24.7109375" customWidth="1"/>
    <col min="7" max="7" width="27.42578125" customWidth="1"/>
    <col min="8" max="8" width="22.28515625" customWidth="1"/>
    <col min="9" max="9" width="43.42578125" customWidth="1"/>
    <col min="10" max="10" width="39.28515625" customWidth="1"/>
    <col min="11" max="11" width="20.42578125" customWidth="1"/>
    <col min="12" max="12" width="37" customWidth="1"/>
    <col min="13" max="13" width="21.42578125" customWidth="1"/>
    <col min="14" max="14" width="40.7109375" customWidth="1"/>
    <col min="15" max="15" width="24.85546875" customWidth="1"/>
    <col min="16" max="16" width="49.7109375" customWidth="1"/>
    <col min="17" max="17" width="34" customWidth="1"/>
    <col min="18" max="18" width="30.140625" customWidth="1"/>
    <col min="19" max="19" width="19.85546875" customWidth="1"/>
    <col min="20" max="20" width="19.7109375" customWidth="1"/>
    <col min="21" max="21" width="28.42578125" customWidth="1"/>
    <col min="22" max="27" width="8.5703125" customWidth="1"/>
  </cols>
  <sheetData>
    <row r="1" spans="1:27" ht="28.5" customHeight="1">
      <c r="A1" s="3" t="s">
        <v>9</v>
      </c>
      <c r="B1" s="4" t="s">
        <v>10</v>
      </c>
      <c r="C1" s="4" t="s">
        <v>11</v>
      </c>
      <c r="D1" s="4" t="s">
        <v>12</v>
      </c>
      <c r="E1" s="5" t="s">
        <v>13</v>
      </c>
      <c r="F1" s="5" t="s">
        <v>14</v>
      </c>
      <c r="G1" s="83" t="s">
        <v>15</v>
      </c>
      <c r="H1" s="83" t="s">
        <v>16</v>
      </c>
      <c r="I1" s="84" t="s">
        <v>17</v>
      </c>
      <c r="J1" s="5" t="s">
        <v>18</v>
      </c>
      <c r="K1" s="4" t="s">
        <v>19</v>
      </c>
      <c r="L1" s="84" t="s">
        <v>20</v>
      </c>
      <c r="M1" s="4" t="s">
        <v>21</v>
      </c>
      <c r="N1" s="4" t="s">
        <v>22</v>
      </c>
      <c r="O1" s="6" t="s">
        <v>23</v>
      </c>
      <c r="P1" s="7" t="s">
        <v>24</v>
      </c>
      <c r="Q1" s="7" t="s">
        <v>25</v>
      </c>
      <c r="R1" s="8" t="s">
        <v>26</v>
      </c>
      <c r="S1" s="85" t="s">
        <v>27</v>
      </c>
      <c r="T1" s="85" t="s">
        <v>28</v>
      </c>
      <c r="U1" s="86" t="s">
        <v>29</v>
      </c>
      <c r="V1" s="9"/>
      <c r="W1" s="9"/>
      <c r="X1" s="9"/>
      <c r="Y1" s="9"/>
      <c r="Z1" s="9"/>
      <c r="AA1" s="9"/>
    </row>
    <row r="2" spans="1:27" ht="14.25" customHeight="1">
      <c r="A2" s="10" t="s">
        <v>30</v>
      </c>
      <c r="B2" s="11">
        <v>75377114</v>
      </c>
      <c r="C2" s="12" t="s">
        <v>31</v>
      </c>
      <c r="D2" s="13" t="s">
        <v>32</v>
      </c>
      <c r="E2" s="14" t="s">
        <v>33</v>
      </c>
      <c r="F2" s="14" t="s">
        <v>8</v>
      </c>
      <c r="G2" s="15">
        <v>4795000000</v>
      </c>
      <c r="H2" s="15">
        <v>4900262180</v>
      </c>
      <c r="I2" s="16">
        <v>15</v>
      </c>
      <c r="J2" s="14" t="s">
        <v>34</v>
      </c>
      <c r="K2" s="17" t="s">
        <v>8</v>
      </c>
      <c r="L2" s="18">
        <v>1</v>
      </c>
      <c r="M2" s="17"/>
      <c r="N2" s="17" t="s">
        <v>0</v>
      </c>
      <c r="O2" s="17" t="s">
        <v>35</v>
      </c>
      <c r="P2" s="17" t="s">
        <v>35</v>
      </c>
      <c r="Q2" s="17" t="s">
        <v>35</v>
      </c>
      <c r="R2" s="19" t="s">
        <v>36</v>
      </c>
      <c r="S2" s="20">
        <f t="shared" ref="S2:S131" si="0">G2/H2</f>
        <v>0.97851907181015363</v>
      </c>
      <c r="T2" s="20">
        <f t="shared" ref="T2:T131" si="1">1-S2</f>
        <v>2.1480928189846371E-2</v>
      </c>
      <c r="U2" s="21">
        <v>39</v>
      </c>
      <c r="V2" s="9"/>
      <c r="W2" s="9"/>
      <c r="X2" s="9"/>
      <c r="Y2" s="9"/>
      <c r="Z2" s="9"/>
      <c r="AA2" s="9"/>
    </row>
    <row r="3" spans="1:27" ht="14.25" customHeight="1">
      <c r="A3" s="10" t="s">
        <v>30</v>
      </c>
      <c r="B3" s="11">
        <v>78604114</v>
      </c>
      <c r="C3" s="12" t="s">
        <v>31</v>
      </c>
      <c r="D3" s="13" t="s">
        <v>37</v>
      </c>
      <c r="E3" s="14" t="s">
        <v>38</v>
      </c>
      <c r="F3" s="14" t="s">
        <v>8</v>
      </c>
      <c r="G3" s="15">
        <v>5221828000</v>
      </c>
      <c r="H3" s="15">
        <v>5433399941.7399998</v>
      </c>
      <c r="I3" s="16">
        <v>15</v>
      </c>
      <c r="J3" s="14" t="s">
        <v>39</v>
      </c>
      <c r="K3" s="17" t="s">
        <v>8</v>
      </c>
      <c r="L3" s="18">
        <v>1</v>
      </c>
      <c r="M3" s="17"/>
      <c r="N3" s="17" t="s">
        <v>8</v>
      </c>
      <c r="O3" s="17" t="s">
        <v>35</v>
      </c>
      <c r="P3" s="17" t="s">
        <v>35</v>
      </c>
      <c r="Q3" s="17" t="s">
        <v>35</v>
      </c>
      <c r="R3" s="19"/>
      <c r="S3" s="20">
        <f t="shared" si="0"/>
        <v>0.96106085618423187</v>
      </c>
      <c r="T3" s="20">
        <f t="shared" si="1"/>
        <v>3.8939143815768129E-2</v>
      </c>
      <c r="U3" s="21">
        <v>50</v>
      </c>
      <c r="V3" s="9"/>
      <c r="W3" s="9"/>
      <c r="X3" s="9"/>
      <c r="Y3" s="9"/>
      <c r="Z3" s="9"/>
      <c r="AA3" s="9"/>
    </row>
    <row r="4" spans="1:27" ht="14.25" customHeight="1">
      <c r="A4" s="10" t="s">
        <v>30</v>
      </c>
      <c r="B4" s="11">
        <v>83576114</v>
      </c>
      <c r="C4" s="12" t="s">
        <v>31</v>
      </c>
      <c r="D4" s="13" t="s">
        <v>32</v>
      </c>
      <c r="E4" s="14" t="s">
        <v>40</v>
      </c>
      <c r="F4" s="14" t="s">
        <v>8</v>
      </c>
      <c r="G4" s="15">
        <v>2897914000</v>
      </c>
      <c r="H4" s="15">
        <v>2949754940</v>
      </c>
      <c r="I4" s="16">
        <v>13</v>
      </c>
      <c r="J4" s="14" t="s">
        <v>41</v>
      </c>
      <c r="K4" s="17" t="s">
        <v>8</v>
      </c>
      <c r="L4" s="18">
        <v>1</v>
      </c>
      <c r="M4" s="17"/>
      <c r="N4" s="17" t="s">
        <v>8</v>
      </c>
      <c r="O4" s="17" t="s">
        <v>35</v>
      </c>
      <c r="P4" s="17" t="s">
        <v>35</v>
      </c>
      <c r="Q4" s="17" t="s">
        <v>35</v>
      </c>
      <c r="R4" s="19"/>
      <c r="S4" s="20">
        <f t="shared" si="0"/>
        <v>0.98242534005214688</v>
      </c>
      <c r="T4" s="20">
        <f t="shared" si="1"/>
        <v>1.7574659947853122E-2</v>
      </c>
      <c r="U4" s="21">
        <v>54</v>
      </c>
      <c r="V4" s="9"/>
      <c r="W4" s="9"/>
      <c r="X4" s="9"/>
      <c r="Y4" s="9"/>
      <c r="Z4" s="9"/>
      <c r="AA4" s="9"/>
    </row>
    <row r="5" spans="1:27" ht="14.25" customHeight="1">
      <c r="A5" s="10" t="s">
        <v>30</v>
      </c>
      <c r="B5" s="11">
        <v>77997114</v>
      </c>
      <c r="C5" s="12" t="s">
        <v>31</v>
      </c>
      <c r="D5" s="13" t="s">
        <v>42</v>
      </c>
      <c r="E5" s="14" t="s">
        <v>43</v>
      </c>
      <c r="F5" s="14" t="s">
        <v>8</v>
      </c>
      <c r="G5" s="15">
        <v>2285983000</v>
      </c>
      <c r="H5" s="15">
        <v>2388471631.6999998</v>
      </c>
      <c r="I5" s="16">
        <v>33</v>
      </c>
      <c r="J5" s="14" t="s">
        <v>44</v>
      </c>
      <c r="K5" s="17" t="s">
        <v>8</v>
      </c>
      <c r="L5" s="18">
        <v>1</v>
      </c>
      <c r="M5" s="17"/>
      <c r="N5" s="17" t="s">
        <v>8</v>
      </c>
      <c r="O5" s="17" t="s">
        <v>35</v>
      </c>
      <c r="P5" s="17" t="s">
        <v>35</v>
      </c>
      <c r="Q5" s="17" t="s">
        <v>35</v>
      </c>
      <c r="R5" s="19"/>
      <c r="S5" s="20">
        <f t="shared" si="0"/>
        <v>0.95709028721975931</v>
      </c>
      <c r="T5" s="20">
        <f t="shared" si="1"/>
        <v>4.2909712780240694E-2</v>
      </c>
      <c r="U5" s="21">
        <v>36</v>
      </c>
      <c r="V5" s="9"/>
      <c r="W5" s="9"/>
      <c r="X5" s="9"/>
      <c r="Y5" s="9"/>
      <c r="Z5" s="9"/>
      <c r="AA5" s="9"/>
    </row>
    <row r="6" spans="1:27" ht="14.25" customHeight="1">
      <c r="A6" s="10" t="s">
        <v>30</v>
      </c>
      <c r="B6" s="11">
        <v>74943114</v>
      </c>
      <c r="C6" s="12" t="s">
        <v>31</v>
      </c>
      <c r="D6" s="13" t="s">
        <v>45</v>
      </c>
      <c r="E6" s="22" t="s">
        <v>46</v>
      </c>
      <c r="F6" s="14" t="s">
        <v>8</v>
      </c>
      <c r="G6" s="15">
        <v>920891000</v>
      </c>
      <c r="H6" s="15">
        <v>930882475.07000005</v>
      </c>
      <c r="I6" s="16">
        <v>27</v>
      </c>
      <c r="J6" s="14" t="s">
        <v>47</v>
      </c>
      <c r="K6" s="17" t="s">
        <v>8</v>
      </c>
      <c r="L6" s="18">
        <v>1</v>
      </c>
      <c r="M6" s="23"/>
      <c r="N6" s="19" t="s">
        <v>48</v>
      </c>
      <c r="O6" s="23"/>
      <c r="P6" s="23"/>
      <c r="Q6" s="23"/>
      <c r="R6" s="19"/>
      <c r="S6" s="20">
        <f t="shared" si="0"/>
        <v>0.98926666326031254</v>
      </c>
      <c r="T6" s="20">
        <f t="shared" si="1"/>
        <v>1.073333673968746E-2</v>
      </c>
      <c r="U6" s="21">
        <v>36</v>
      </c>
      <c r="V6" s="9"/>
      <c r="W6" s="9"/>
      <c r="X6" s="9"/>
      <c r="Y6" s="9"/>
      <c r="Z6" s="9"/>
      <c r="AA6" s="9"/>
    </row>
    <row r="7" spans="1:27" ht="14.25" customHeight="1">
      <c r="A7" s="10" t="s">
        <v>30</v>
      </c>
      <c r="B7" s="11">
        <v>88215114</v>
      </c>
      <c r="C7" s="12" t="s">
        <v>31</v>
      </c>
      <c r="D7" s="13" t="s">
        <v>49</v>
      </c>
      <c r="E7" s="22" t="s">
        <v>50</v>
      </c>
      <c r="F7" s="14" t="s">
        <v>8</v>
      </c>
      <c r="G7" s="15">
        <v>2196919412</v>
      </c>
      <c r="H7" s="15">
        <v>2313707173.25</v>
      </c>
      <c r="I7" s="16">
        <v>29</v>
      </c>
      <c r="J7" s="14" t="s">
        <v>51</v>
      </c>
      <c r="K7" s="17" t="s">
        <v>0</v>
      </c>
      <c r="L7" s="18">
        <v>1</v>
      </c>
      <c r="M7" s="23"/>
      <c r="N7" s="19" t="s">
        <v>52</v>
      </c>
      <c r="O7" s="23"/>
      <c r="P7" s="23"/>
      <c r="Q7" s="23"/>
      <c r="R7" s="19"/>
      <c r="S7" s="20">
        <f t="shared" si="0"/>
        <v>0.94952353409271262</v>
      </c>
      <c r="T7" s="20">
        <f t="shared" si="1"/>
        <v>5.0476465907287382E-2</v>
      </c>
      <c r="U7" s="21">
        <v>36</v>
      </c>
      <c r="V7" s="9"/>
      <c r="W7" s="9"/>
      <c r="X7" s="9"/>
      <c r="Y7" s="9"/>
      <c r="Z7" s="9"/>
      <c r="AA7" s="9"/>
    </row>
    <row r="8" spans="1:27" ht="14.25" customHeight="1">
      <c r="A8" s="10" t="s">
        <v>30</v>
      </c>
      <c r="B8" s="11">
        <v>88217114</v>
      </c>
      <c r="C8" s="12" t="s">
        <v>31</v>
      </c>
      <c r="D8" s="13" t="s">
        <v>53</v>
      </c>
      <c r="E8" s="22" t="s">
        <v>54</v>
      </c>
      <c r="F8" s="14" t="s">
        <v>8</v>
      </c>
      <c r="G8" s="15">
        <v>2156789834</v>
      </c>
      <c r="H8" s="15">
        <v>2378661747.1399999</v>
      </c>
      <c r="I8" s="16">
        <v>29</v>
      </c>
      <c r="J8" s="14" t="s">
        <v>51</v>
      </c>
      <c r="K8" s="17" t="s">
        <v>0</v>
      </c>
      <c r="L8" s="18">
        <v>1</v>
      </c>
      <c r="M8" s="23"/>
      <c r="N8" s="19" t="s">
        <v>52</v>
      </c>
      <c r="O8" s="23"/>
      <c r="P8" s="23"/>
      <c r="Q8" s="23"/>
      <c r="R8" s="19"/>
      <c r="S8" s="20">
        <f t="shared" si="0"/>
        <v>0.90672405885083529</v>
      </c>
      <c r="T8" s="20">
        <f t="shared" si="1"/>
        <v>9.3275941149164709E-2</v>
      </c>
      <c r="U8" s="21">
        <v>39</v>
      </c>
      <c r="V8" s="9"/>
      <c r="W8" s="9"/>
      <c r="X8" s="9"/>
      <c r="Y8" s="9"/>
      <c r="Z8" s="9"/>
      <c r="AA8" s="9"/>
    </row>
    <row r="9" spans="1:27" ht="14.25" customHeight="1">
      <c r="A9" s="10" t="s">
        <v>30</v>
      </c>
      <c r="B9" s="11">
        <v>91886114</v>
      </c>
      <c r="C9" s="12" t="s">
        <v>31</v>
      </c>
      <c r="D9" s="13" t="s">
        <v>55</v>
      </c>
      <c r="E9" s="22" t="s">
        <v>56</v>
      </c>
      <c r="F9" s="14" t="s">
        <v>8</v>
      </c>
      <c r="G9" s="15">
        <v>2302585248</v>
      </c>
      <c r="H9" s="15">
        <v>2478109615.1300001</v>
      </c>
      <c r="I9" s="16">
        <v>22</v>
      </c>
      <c r="J9" s="14" t="s">
        <v>57</v>
      </c>
      <c r="K9" s="17" t="s">
        <v>8</v>
      </c>
      <c r="L9" s="18">
        <v>1</v>
      </c>
      <c r="M9" s="23"/>
      <c r="N9" s="19" t="s">
        <v>52</v>
      </c>
      <c r="O9" s="23"/>
      <c r="P9" s="23"/>
      <c r="Q9" s="23"/>
      <c r="R9" s="19"/>
      <c r="S9" s="20">
        <f t="shared" si="0"/>
        <v>0.92917005524761975</v>
      </c>
      <c r="T9" s="20">
        <f t="shared" si="1"/>
        <v>7.0829944752380247E-2</v>
      </c>
      <c r="U9" s="21">
        <v>32</v>
      </c>
      <c r="V9" s="9"/>
      <c r="W9" s="9"/>
      <c r="X9" s="9"/>
      <c r="Y9" s="9"/>
      <c r="Z9" s="9"/>
      <c r="AA9" s="9"/>
    </row>
    <row r="10" spans="1:27" ht="14.25" customHeight="1">
      <c r="A10" s="10" t="s">
        <v>30</v>
      </c>
      <c r="B10" s="11">
        <v>91883114</v>
      </c>
      <c r="C10" s="12" t="s">
        <v>31</v>
      </c>
      <c r="D10" s="13" t="s">
        <v>58</v>
      </c>
      <c r="E10" s="22" t="s">
        <v>59</v>
      </c>
      <c r="F10" s="14" t="s">
        <v>8</v>
      </c>
      <c r="G10" s="15">
        <v>2298500325</v>
      </c>
      <c r="H10" s="15">
        <v>2472153699.3200002</v>
      </c>
      <c r="I10" s="16">
        <v>22</v>
      </c>
      <c r="J10" s="14" t="s">
        <v>60</v>
      </c>
      <c r="K10" s="17" t="s">
        <v>8</v>
      </c>
      <c r="L10" s="18">
        <v>1</v>
      </c>
      <c r="M10" s="23"/>
      <c r="N10" s="19" t="s">
        <v>52</v>
      </c>
      <c r="O10" s="23"/>
      <c r="P10" s="23"/>
      <c r="Q10" s="23"/>
      <c r="R10" s="19"/>
      <c r="S10" s="20">
        <f t="shared" si="0"/>
        <v>0.92975623871292234</v>
      </c>
      <c r="T10" s="20">
        <f t="shared" si="1"/>
        <v>7.0243761287077655E-2</v>
      </c>
      <c r="U10" s="21">
        <v>39</v>
      </c>
      <c r="V10" s="9"/>
      <c r="W10" s="9"/>
      <c r="X10" s="9"/>
      <c r="Y10" s="9"/>
      <c r="Z10" s="9"/>
      <c r="AA10" s="9"/>
    </row>
    <row r="11" spans="1:27" ht="14.25" customHeight="1">
      <c r="A11" s="10" t="s">
        <v>30</v>
      </c>
      <c r="B11" s="11">
        <v>91885114</v>
      </c>
      <c r="C11" s="12" t="s">
        <v>31</v>
      </c>
      <c r="D11" s="13" t="s">
        <v>61</v>
      </c>
      <c r="E11" s="22" t="s">
        <v>62</v>
      </c>
      <c r="F11" s="14" t="s">
        <v>8</v>
      </c>
      <c r="G11" s="15">
        <v>2324214284</v>
      </c>
      <c r="H11" s="15">
        <v>2499475771.9499998</v>
      </c>
      <c r="I11" s="16">
        <v>22</v>
      </c>
      <c r="J11" s="14" t="s">
        <v>63</v>
      </c>
      <c r="K11" s="17" t="s">
        <v>0</v>
      </c>
      <c r="L11" s="18">
        <v>1</v>
      </c>
      <c r="M11" s="23"/>
      <c r="N11" s="19" t="s">
        <v>52</v>
      </c>
      <c r="O11" s="23"/>
      <c r="P11" s="23"/>
      <c r="Q11" s="23"/>
      <c r="R11" s="19"/>
      <c r="S11" s="20">
        <f t="shared" si="0"/>
        <v>0.92988070141873502</v>
      </c>
      <c r="T11" s="20">
        <f t="shared" si="1"/>
        <v>7.0119298581264977E-2</v>
      </c>
      <c r="U11" s="21">
        <v>32</v>
      </c>
      <c r="V11" s="9"/>
      <c r="W11" s="9"/>
      <c r="X11" s="9"/>
      <c r="Y11" s="9"/>
      <c r="Z11" s="9"/>
      <c r="AA11" s="9"/>
    </row>
    <row r="12" spans="1:27" ht="14.25" customHeight="1">
      <c r="A12" s="10" t="s">
        <v>30</v>
      </c>
      <c r="B12" s="11">
        <v>91098114</v>
      </c>
      <c r="C12" s="12" t="s">
        <v>31</v>
      </c>
      <c r="D12" s="13" t="s">
        <v>64</v>
      </c>
      <c r="E12" s="22" t="s">
        <v>65</v>
      </c>
      <c r="F12" s="14" t="s">
        <v>8</v>
      </c>
      <c r="G12" s="15">
        <v>1000708000</v>
      </c>
      <c r="H12" s="15">
        <v>1049963380.05</v>
      </c>
      <c r="I12" s="16">
        <v>14</v>
      </c>
      <c r="J12" s="14" t="s">
        <v>66</v>
      </c>
      <c r="K12" s="17" t="s">
        <v>8</v>
      </c>
      <c r="L12" s="18">
        <v>1</v>
      </c>
      <c r="M12" s="23"/>
      <c r="N12" s="19" t="s">
        <v>67</v>
      </c>
      <c r="O12" s="23"/>
      <c r="P12" s="23"/>
      <c r="Q12" s="23"/>
      <c r="R12" s="19"/>
      <c r="S12" s="20">
        <f t="shared" si="0"/>
        <v>0.9530884781451574</v>
      </c>
      <c r="T12" s="20">
        <f t="shared" si="1"/>
        <v>4.6911521854842597E-2</v>
      </c>
      <c r="U12" s="21">
        <v>46</v>
      </c>
      <c r="V12" s="9"/>
      <c r="W12" s="9"/>
      <c r="X12" s="9"/>
      <c r="Y12" s="9"/>
      <c r="Z12" s="9"/>
      <c r="AA12" s="9"/>
    </row>
    <row r="13" spans="1:27" ht="14.25" customHeight="1">
      <c r="A13" s="10" t="s">
        <v>68</v>
      </c>
      <c r="B13" s="11">
        <v>68576114</v>
      </c>
      <c r="C13" s="24" t="s">
        <v>69</v>
      </c>
      <c r="D13" s="13" t="s">
        <v>70</v>
      </c>
      <c r="E13" s="22" t="s">
        <v>71</v>
      </c>
      <c r="F13" s="14" t="s">
        <v>8</v>
      </c>
      <c r="G13" s="15">
        <v>692049000</v>
      </c>
      <c r="H13" s="15">
        <v>750000000</v>
      </c>
      <c r="I13" s="16">
        <v>24</v>
      </c>
      <c r="J13" s="14" t="s">
        <v>72</v>
      </c>
      <c r="K13" s="17" t="s">
        <v>8</v>
      </c>
      <c r="L13" s="18">
        <v>1</v>
      </c>
      <c r="M13" s="23"/>
      <c r="N13" s="19" t="s">
        <v>73</v>
      </c>
      <c r="O13" s="23"/>
      <c r="P13" s="23"/>
      <c r="Q13" s="23"/>
      <c r="R13" s="19"/>
      <c r="S13" s="20">
        <f t="shared" si="0"/>
        <v>0.922732</v>
      </c>
      <c r="T13" s="20">
        <f t="shared" si="1"/>
        <v>7.7268000000000003E-2</v>
      </c>
      <c r="U13" s="21">
        <v>29</v>
      </c>
      <c r="V13" s="9"/>
      <c r="W13" s="9"/>
      <c r="X13" s="9"/>
      <c r="Y13" s="9"/>
      <c r="Z13" s="9"/>
      <c r="AA13" s="9"/>
    </row>
    <row r="14" spans="1:27" ht="14.25" customHeight="1">
      <c r="A14" s="10" t="s">
        <v>68</v>
      </c>
      <c r="B14" s="25">
        <v>73048114</v>
      </c>
      <c r="C14" s="24" t="s">
        <v>69</v>
      </c>
      <c r="D14" s="13" t="s">
        <v>74</v>
      </c>
      <c r="E14" s="22" t="s">
        <v>75</v>
      </c>
      <c r="F14" s="14" t="s">
        <v>8</v>
      </c>
      <c r="G14" s="15">
        <v>4799973000</v>
      </c>
      <c r="H14" s="15">
        <v>4899798940.4700003</v>
      </c>
      <c r="I14" s="16">
        <v>21</v>
      </c>
      <c r="J14" s="14" t="s">
        <v>76</v>
      </c>
      <c r="K14" s="17" t="s">
        <v>8</v>
      </c>
      <c r="L14" s="18">
        <v>2</v>
      </c>
      <c r="M14" s="23"/>
      <c r="N14" s="19" t="s">
        <v>77</v>
      </c>
      <c r="O14" s="23"/>
      <c r="P14" s="23"/>
      <c r="Q14" s="23"/>
      <c r="R14" s="19"/>
      <c r="S14" s="20">
        <f t="shared" si="0"/>
        <v>0.97962652311190046</v>
      </c>
      <c r="T14" s="20">
        <f t="shared" si="1"/>
        <v>2.037347688809954E-2</v>
      </c>
      <c r="U14" s="21">
        <v>50</v>
      </c>
      <c r="V14" s="9"/>
      <c r="W14" s="9"/>
      <c r="X14" s="9"/>
      <c r="Y14" s="9"/>
      <c r="Z14" s="9"/>
      <c r="AA14" s="9"/>
    </row>
    <row r="15" spans="1:27" ht="14.25" customHeight="1">
      <c r="A15" s="10" t="s">
        <v>68</v>
      </c>
      <c r="B15" s="11">
        <v>73050114</v>
      </c>
      <c r="C15" s="24" t="s">
        <v>69</v>
      </c>
      <c r="D15" s="13" t="s">
        <v>78</v>
      </c>
      <c r="E15" s="22" t="s">
        <v>79</v>
      </c>
      <c r="F15" s="14" t="s">
        <v>8</v>
      </c>
      <c r="G15" s="15">
        <v>11761174000</v>
      </c>
      <c r="H15" s="15">
        <v>11921626869.16</v>
      </c>
      <c r="I15" s="16">
        <v>21</v>
      </c>
      <c r="J15" s="14" t="s">
        <v>80</v>
      </c>
      <c r="K15" s="17" t="s">
        <v>8</v>
      </c>
      <c r="L15" s="18">
        <v>2</v>
      </c>
      <c r="M15" s="23"/>
      <c r="N15" s="19" t="s">
        <v>81</v>
      </c>
      <c r="O15" s="23"/>
      <c r="P15" s="23"/>
      <c r="Q15" s="23"/>
      <c r="R15" s="19"/>
      <c r="S15" s="20">
        <f t="shared" si="0"/>
        <v>0.98654102574078417</v>
      </c>
      <c r="T15" s="20">
        <f t="shared" si="1"/>
        <v>1.3458974259215828E-2</v>
      </c>
      <c r="U15" s="21">
        <v>57</v>
      </c>
      <c r="V15" s="9"/>
      <c r="W15" s="9"/>
      <c r="X15" s="9"/>
      <c r="Y15" s="9"/>
      <c r="Z15" s="9"/>
      <c r="AA15" s="9"/>
    </row>
    <row r="16" spans="1:27" ht="14.25" customHeight="1">
      <c r="A16" s="10" t="s">
        <v>68</v>
      </c>
      <c r="B16" s="11">
        <v>84101114</v>
      </c>
      <c r="C16" s="24" t="s">
        <v>69</v>
      </c>
      <c r="D16" s="13" t="s">
        <v>82</v>
      </c>
      <c r="E16" s="22" t="s">
        <v>83</v>
      </c>
      <c r="F16" s="14" t="s">
        <v>8</v>
      </c>
      <c r="G16" s="15">
        <v>659172180</v>
      </c>
      <c r="H16" s="15">
        <v>795206577.27999997</v>
      </c>
      <c r="I16" s="16">
        <v>15</v>
      </c>
      <c r="J16" s="14" t="s">
        <v>84</v>
      </c>
      <c r="K16" s="17" t="s">
        <v>8</v>
      </c>
      <c r="L16" s="18">
        <v>1</v>
      </c>
      <c r="M16" s="23"/>
      <c r="N16" s="19" t="s">
        <v>85</v>
      </c>
      <c r="O16" s="23"/>
      <c r="P16" s="23"/>
      <c r="Q16" s="23"/>
      <c r="R16" s="19"/>
      <c r="S16" s="20">
        <f t="shared" si="0"/>
        <v>0.82893200186383653</v>
      </c>
      <c r="T16" s="20">
        <f t="shared" si="1"/>
        <v>0.17106799813616347</v>
      </c>
      <c r="U16" s="21">
        <v>54</v>
      </c>
      <c r="V16" s="9"/>
      <c r="W16" s="9"/>
      <c r="X16" s="9"/>
      <c r="Y16" s="9"/>
      <c r="Z16" s="9"/>
      <c r="AA16" s="9"/>
    </row>
    <row r="17" spans="1:27" ht="14.25" customHeight="1">
      <c r="A17" s="10" t="s">
        <v>68</v>
      </c>
      <c r="B17" s="11">
        <v>85789114</v>
      </c>
      <c r="C17" s="24" t="s">
        <v>69</v>
      </c>
      <c r="D17" s="13" t="s">
        <v>86</v>
      </c>
      <c r="E17" s="22" t="s">
        <v>87</v>
      </c>
      <c r="F17" s="14" t="s">
        <v>8</v>
      </c>
      <c r="G17" s="15">
        <v>2256477335</v>
      </c>
      <c r="H17" s="15">
        <v>2849697800.7199998</v>
      </c>
      <c r="I17" s="16">
        <v>28</v>
      </c>
      <c r="J17" s="14" t="s">
        <v>88</v>
      </c>
      <c r="K17" s="17" t="s">
        <v>8</v>
      </c>
      <c r="L17" s="18">
        <v>1</v>
      </c>
      <c r="M17" s="23"/>
      <c r="N17" s="17" t="s">
        <v>8</v>
      </c>
      <c r="O17" s="23"/>
      <c r="P17" s="23"/>
      <c r="Q17" s="23"/>
      <c r="R17" s="19"/>
      <c r="S17" s="20">
        <f t="shared" si="0"/>
        <v>0.79183039493867813</v>
      </c>
      <c r="T17" s="20">
        <f t="shared" si="1"/>
        <v>0.20816960506132187</v>
      </c>
      <c r="U17" s="21">
        <v>61</v>
      </c>
      <c r="V17" s="9"/>
      <c r="W17" s="9"/>
      <c r="X17" s="9"/>
      <c r="Y17" s="9"/>
      <c r="Z17" s="9"/>
      <c r="AA17" s="9"/>
    </row>
    <row r="18" spans="1:27" ht="14.25" customHeight="1">
      <c r="A18" s="26" t="s">
        <v>68</v>
      </c>
      <c r="B18" s="12">
        <v>85716114</v>
      </c>
      <c r="C18" s="12" t="s">
        <v>69</v>
      </c>
      <c r="D18" s="19" t="s">
        <v>89</v>
      </c>
      <c r="E18" s="22" t="s">
        <v>90</v>
      </c>
      <c r="F18" s="14" t="s">
        <v>0</v>
      </c>
      <c r="G18" s="15">
        <v>11546018400</v>
      </c>
      <c r="H18" s="15">
        <v>14994799783.1</v>
      </c>
      <c r="I18" s="16">
        <v>46</v>
      </c>
      <c r="J18" s="14" t="s">
        <v>91</v>
      </c>
      <c r="K18" s="17" t="s">
        <v>8</v>
      </c>
      <c r="L18" s="18">
        <v>2</v>
      </c>
      <c r="M18" s="23"/>
      <c r="N18" s="19" t="s">
        <v>92</v>
      </c>
      <c r="O18" s="23"/>
      <c r="P18" s="23"/>
      <c r="Q18" s="23"/>
      <c r="R18" s="19"/>
      <c r="S18" s="20">
        <f t="shared" si="0"/>
        <v>0.77000150498928466</v>
      </c>
      <c r="T18" s="20">
        <f t="shared" si="1"/>
        <v>0.22999849501071534</v>
      </c>
      <c r="U18" s="21">
        <v>68</v>
      </c>
      <c r="V18" s="9"/>
      <c r="W18" s="9"/>
      <c r="X18" s="9"/>
      <c r="Y18" s="9"/>
      <c r="Z18" s="9"/>
      <c r="AA18" s="9"/>
    </row>
    <row r="19" spans="1:27" ht="14.25" customHeight="1">
      <c r="A19" s="26" t="s">
        <v>68</v>
      </c>
      <c r="B19" s="12">
        <v>85415114</v>
      </c>
      <c r="C19" s="12" t="s">
        <v>69</v>
      </c>
      <c r="D19" s="19" t="s">
        <v>93</v>
      </c>
      <c r="E19" s="22" t="s">
        <v>90</v>
      </c>
      <c r="F19" s="14" t="s">
        <v>0</v>
      </c>
      <c r="G19" s="15">
        <v>3528049000</v>
      </c>
      <c r="H19" s="15">
        <v>4829808278.6099997</v>
      </c>
      <c r="I19" s="16">
        <v>46</v>
      </c>
      <c r="J19" s="14" t="s">
        <v>91</v>
      </c>
      <c r="K19" s="17" t="s">
        <v>8</v>
      </c>
      <c r="L19" s="18">
        <v>2</v>
      </c>
      <c r="M19" s="23"/>
      <c r="N19" s="27" t="s">
        <v>94</v>
      </c>
      <c r="O19" s="23"/>
      <c r="P19" s="23"/>
      <c r="Q19" s="23"/>
      <c r="R19" s="19"/>
      <c r="S19" s="20">
        <f t="shared" si="0"/>
        <v>0.73047392287284729</v>
      </c>
      <c r="T19" s="20">
        <f t="shared" si="1"/>
        <v>0.26952607712715271</v>
      </c>
      <c r="U19" s="28">
        <v>57</v>
      </c>
      <c r="V19" s="9"/>
      <c r="W19" s="9"/>
      <c r="X19" s="9"/>
      <c r="Y19" s="9"/>
      <c r="Z19" s="9"/>
      <c r="AA19" s="9"/>
    </row>
    <row r="20" spans="1:27" ht="14.25" customHeight="1">
      <c r="A20" s="26" t="s">
        <v>68</v>
      </c>
      <c r="B20" s="12">
        <v>85791114</v>
      </c>
      <c r="C20" s="12" t="s">
        <v>69</v>
      </c>
      <c r="D20" s="19" t="s">
        <v>95</v>
      </c>
      <c r="E20" s="22" t="s">
        <v>96</v>
      </c>
      <c r="F20" s="14" t="s">
        <v>0</v>
      </c>
      <c r="G20" s="15">
        <v>2658502200</v>
      </c>
      <c r="H20" s="15">
        <v>2899908049.5</v>
      </c>
      <c r="I20" s="16">
        <v>23</v>
      </c>
      <c r="J20" s="14" t="s">
        <v>97</v>
      </c>
      <c r="K20" s="17" t="s">
        <v>8</v>
      </c>
      <c r="L20" s="18">
        <v>1</v>
      </c>
      <c r="M20" s="23"/>
      <c r="N20" s="27" t="s">
        <v>98</v>
      </c>
      <c r="O20" s="23"/>
      <c r="P20" s="23"/>
      <c r="Q20" s="23"/>
      <c r="R20" s="19"/>
      <c r="S20" s="20">
        <f t="shared" si="0"/>
        <v>0.91675396413288934</v>
      </c>
      <c r="T20" s="20">
        <f t="shared" si="1"/>
        <v>8.3246035867110657E-2</v>
      </c>
      <c r="U20" s="28">
        <v>39</v>
      </c>
      <c r="V20" s="9"/>
      <c r="W20" s="9"/>
      <c r="X20" s="9"/>
      <c r="Y20" s="9"/>
      <c r="Z20" s="9"/>
      <c r="AA20" s="9"/>
    </row>
    <row r="21" spans="1:27" ht="14.25" customHeight="1">
      <c r="A21" s="29" t="s">
        <v>99</v>
      </c>
      <c r="B21" s="23">
        <v>92121114</v>
      </c>
      <c r="C21" s="23" t="s">
        <v>100</v>
      </c>
      <c r="D21" s="19" t="s">
        <v>101</v>
      </c>
      <c r="E21" s="22" t="s">
        <v>102</v>
      </c>
      <c r="F21" s="14" t="s">
        <v>0</v>
      </c>
      <c r="G21" s="15">
        <v>1486757250</v>
      </c>
      <c r="H21" s="15">
        <v>1537244863</v>
      </c>
      <c r="I21" s="16">
        <v>10</v>
      </c>
      <c r="J21" s="14" t="s">
        <v>103</v>
      </c>
      <c r="K21" s="17" t="s">
        <v>8</v>
      </c>
      <c r="L21" s="18">
        <v>1</v>
      </c>
      <c r="M21" s="23"/>
      <c r="N21" s="23" t="s">
        <v>8</v>
      </c>
      <c r="O21" s="23"/>
      <c r="P21" s="23"/>
      <c r="Q21" s="23"/>
      <c r="R21" s="19"/>
      <c r="S21" s="20">
        <f t="shared" si="0"/>
        <v>0.96715707808483342</v>
      </c>
      <c r="T21" s="20">
        <f t="shared" si="1"/>
        <v>3.2842921915166579E-2</v>
      </c>
      <c r="U21" s="21">
        <v>42.86</v>
      </c>
      <c r="V21" s="9"/>
      <c r="W21" s="9"/>
      <c r="X21" s="9"/>
      <c r="Y21" s="9"/>
      <c r="Z21" s="9"/>
      <c r="AA21" s="9"/>
    </row>
    <row r="22" spans="1:27" ht="14.25" customHeight="1">
      <c r="A22" s="29" t="s">
        <v>104</v>
      </c>
      <c r="B22" s="23">
        <v>86102114</v>
      </c>
      <c r="C22" s="23" t="s">
        <v>105</v>
      </c>
      <c r="D22" s="19" t="s">
        <v>106</v>
      </c>
      <c r="E22" s="22" t="s">
        <v>107</v>
      </c>
      <c r="F22" s="14" t="s">
        <v>0</v>
      </c>
      <c r="G22" s="15">
        <v>11839495000</v>
      </c>
      <c r="H22" s="15">
        <v>12810456155.66</v>
      </c>
      <c r="I22" s="16">
        <v>24</v>
      </c>
      <c r="J22" s="14" t="s">
        <v>108</v>
      </c>
      <c r="K22" s="17" t="s">
        <v>0</v>
      </c>
      <c r="L22" s="18">
        <v>1</v>
      </c>
      <c r="M22" s="23"/>
      <c r="N22" s="19" t="s">
        <v>109</v>
      </c>
      <c r="O22" s="23"/>
      <c r="P22" s="23"/>
      <c r="Q22" s="23"/>
      <c r="R22" s="19"/>
      <c r="S22" s="20">
        <f t="shared" si="0"/>
        <v>0.92420557520654689</v>
      </c>
      <c r="T22" s="20">
        <f t="shared" si="1"/>
        <v>7.5794424793453108E-2</v>
      </c>
      <c r="U22" s="21">
        <v>35.71</v>
      </c>
      <c r="V22" s="9"/>
      <c r="W22" s="9"/>
      <c r="X22" s="9"/>
      <c r="Y22" s="9"/>
      <c r="Z22" s="9"/>
      <c r="AA22" s="9"/>
    </row>
    <row r="23" spans="1:27" ht="14.25" customHeight="1">
      <c r="A23" s="29" t="s">
        <v>104</v>
      </c>
      <c r="B23" s="23">
        <v>86100114</v>
      </c>
      <c r="C23" s="23" t="s">
        <v>105</v>
      </c>
      <c r="D23" s="19" t="s">
        <v>110</v>
      </c>
      <c r="E23" s="30" t="s">
        <v>111</v>
      </c>
      <c r="F23" s="14" t="s">
        <v>0</v>
      </c>
      <c r="G23" s="15">
        <v>10627605000</v>
      </c>
      <c r="H23" s="15">
        <v>11730249706.639999</v>
      </c>
      <c r="I23" s="16">
        <v>30</v>
      </c>
      <c r="J23" s="14" t="s">
        <v>112</v>
      </c>
      <c r="K23" s="17" t="s">
        <v>0</v>
      </c>
      <c r="L23" s="18">
        <v>1</v>
      </c>
      <c r="M23" s="23"/>
      <c r="N23" s="19" t="s">
        <v>109</v>
      </c>
      <c r="O23" s="23"/>
      <c r="P23" s="23"/>
      <c r="Q23" s="23"/>
      <c r="R23" s="19"/>
      <c r="S23" s="20">
        <f t="shared" si="0"/>
        <v>0.90599989478349818</v>
      </c>
      <c r="T23" s="20">
        <f t="shared" si="1"/>
        <v>9.4000105216501817E-2</v>
      </c>
      <c r="U23" s="28">
        <v>50</v>
      </c>
      <c r="V23" s="9"/>
      <c r="W23" s="9"/>
      <c r="X23" s="9"/>
      <c r="Y23" s="9"/>
      <c r="Z23" s="9"/>
      <c r="AA23" s="9"/>
    </row>
    <row r="24" spans="1:27" ht="14.25" customHeight="1">
      <c r="A24" s="29" t="s">
        <v>113</v>
      </c>
      <c r="B24" s="23">
        <v>52623114</v>
      </c>
      <c r="C24" s="23" t="s">
        <v>114</v>
      </c>
      <c r="D24" s="19" t="s">
        <v>115</v>
      </c>
      <c r="E24" s="22" t="s">
        <v>116</v>
      </c>
      <c r="F24" s="14" t="s">
        <v>0</v>
      </c>
      <c r="G24" s="15">
        <v>2859542000</v>
      </c>
      <c r="H24" s="15">
        <v>2895114957</v>
      </c>
      <c r="I24" s="16">
        <v>28</v>
      </c>
      <c r="J24" s="14" t="s">
        <v>117</v>
      </c>
      <c r="K24" s="17" t="s">
        <v>0</v>
      </c>
      <c r="L24" s="18">
        <v>1</v>
      </c>
      <c r="M24" s="23"/>
      <c r="N24" s="19" t="s">
        <v>118</v>
      </c>
      <c r="O24" s="23"/>
      <c r="P24" s="23"/>
      <c r="Q24" s="23"/>
      <c r="R24" s="19"/>
      <c r="S24" s="20">
        <f t="shared" si="0"/>
        <v>0.98771276528623175</v>
      </c>
      <c r="T24" s="20">
        <f t="shared" si="1"/>
        <v>1.2287234713768247E-2</v>
      </c>
      <c r="U24" s="21">
        <v>46.43</v>
      </c>
      <c r="V24" s="9"/>
      <c r="W24" s="9"/>
      <c r="X24" s="9"/>
      <c r="Y24" s="9"/>
      <c r="Z24" s="9"/>
      <c r="AA24" s="9"/>
    </row>
    <row r="25" spans="1:27" ht="14.25" customHeight="1">
      <c r="A25" s="29" t="s">
        <v>113</v>
      </c>
      <c r="B25" s="23">
        <v>53475114</v>
      </c>
      <c r="C25" s="23" t="s">
        <v>114</v>
      </c>
      <c r="D25" s="19" t="s">
        <v>119</v>
      </c>
      <c r="E25" s="22" t="s">
        <v>120</v>
      </c>
      <c r="F25" s="14" t="s">
        <v>0</v>
      </c>
      <c r="G25" s="15">
        <v>5297557800</v>
      </c>
      <c r="H25" s="15">
        <v>5434439023.1999998</v>
      </c>
      <c r="I25" s="16">
        <v>16</v>
      </c>
      <c r="J25" s="14" t="s">
        <v>121</v>
      </c>
      <c r="K25" s="17" t="s">
        <v>0</v>
      </c>
      <c r="L25" s="18">
        <v>1</v>
      </c>
      <c r="M25" s="23"/>
      <c r="N25" s="23" t="s">
        <v>8</v>
      </c>
      <c r="O25" s="23"/>
      <c r="P25" s="23"/>
      <c r="Q25" s="23"/>
      <c r="R25" s="19"/>
      <c r="S25" s="20">
        <f t="shared" si="0"/>
        <v>0.97481226256921016</v>
      </c>
      <c r="T25" s="20">
        <f t="shared" si="1"/>
        <v>2.5187737430789836E-2</v>
      </c>
      <c r="U25" s="21">
        <v>57.14</v>
      </c>
      <c r="V25" s="9"/>
      <c r="W25" s="9"/>
      <c r="X25" s="9"/>
      <c r="Y25" s="9"/>
      <c r="Z25" s="9"/>
      <c r="AA25" s="9"/>
    </row>
    <row r="26" spans="1:27" ht="14.25" customHeight="1">
      <c r="A26" s="29" t="s">
        <v>113</v>
      </c>
      <c r="B26" s="23">
        <v>43685114</v>
      </c>
      <c r="C26" s="23" t="s">
        <v>114</v>
      </c>
      <c r="D26" s="19" t="s">
        <v>122</v>
      </c>
      <c r="E26" s="22" t="s">
        <v>123</v>
      </c>
      <c r="F26" s="14" t="s">
        <v>8</v>
      </c>
      <c r="G26" s="15">
        <v>4175367000</v>
      </c>
      <c r="H26" s="15">
        <v>4232392000</v>
      </c>
      <c r="I26" s="16">
        <v>17</v>
      </c>
      <c r="J26" s="14" t="s">
        <v>124</v>
      </c>
      <c r="K26" s="17" t="s">
        <v>8</v>
      </c>
      <c r="L26" s="18">
        <v>1</v>
      </c>
      <c r="M26" s="23"/>
      <c r="N26" s="23" t="s">
        <v>8</v>
      </c>
      <c r="O26" s="23"/>
      <c r="P26" s="23"/>
      <c r="Q26" s="23"/>
      <c r="R26" s="19"/>
      <c r="S26" s="20">
        <f t="shared" si="0"/>
        <v>0.98652653156890946</v>
      </c>
      <c r="T26" s="20">
        <f t="shared" si="1"/>
        <v>1.3473468431090541E-2</v>
      </c>
      <c r="U26" s="21">
        <v>53.57</v>
      </c>
      <c r="V26" s="9"/>
      <c r="W26" s="9"/>
      <c r="X26" s="9"/>
      <c r="Y26" s="9"/>
      <c r="Z26" s="9"/>
      <c r="AA26" s="9"/>
    </row>
    <row r="27" spans="1:27" ht="14.25" customHeight="1">
      <c r="A27" s="29" t="s">
        <v>113</v>
      </c>
      <c r="B27" s="23">
        <v>43800114</v>
      </c>
      <c r="C27" s="23" t="s">
        <v>114</v>
      </c>
      <c r="D27" s="19" t="s">
        <v>125</v>
      </c>
      <c r="E27" s="22" t="s">
        <v>126</v>
      </c>
      <c r="F27" s="14" t="s">
        <v>8</v>
      </c>
      <c r="G27" s="15">
        <v>898339000</v>
      </c>
      <c r="H27" s="15">
        <v>949998000</v>
      </c>
      <c r="I27" s="16">
        <v>21</v>
      </c>
      <c r="J27" s="14" t="s">
        <v>127</v>
      </c>
      <c r="K27" s="17" t="s">
        <v>8</v>
      </c>
      <c r="L27" s="18">
        <v>1</v>
      </c>
      <c r="M27" s="23"/>
      <c r="N27" s="23" t="s">
        <v>8</v>
      </c>
      <c r="O27" s="23"/>
      <c r="P27" s="23"/>
      <c r="Q27" s="23"/>
      <c r="R27" s="19"/>
      <c r="S27" s="20">
        <f t="shared" si="0"/>
        <v>0.94562199078313847</v>
      </c>
      <c r="T27" s="20">
        <f t="shared" si="1"/>
        <v>5.4378009216861534E-2</v>
      </c>
      <c r="U27" s="21">
        <v>32.14</v>
      </c>
      <c r="V27" s="9"/>
      <c r="W27" s="9"/>
      <c r="X27" s="9"/>
      <c r="Y27" s="9"/>
      <c r="Z27" s="9"/>
      <c r="AA27" s="9"/>
    </row>
    <row r="28" spans="1:27" ht="14.25" customHeight="1">
      <c r="A28" s="29" t="s">
        <v>128</v>
      </c>
      <c r="B28" s="23">
        <v>69653114</v>
      </c>
      <c r="C28" s="23" t="s">
        <v>129</v>
      </c>
      <c r="D28" s="19" t="s">
        <v>130</v>
      </c>
      <c r="E28" s="22" t="s">
        <v>131</v>
      </c>
      <c r="F28" s="14" t="s">
        <v>0</v>
      </c>
      <c r="G28" s="15">
        <v>1897000000</v>
      </c>
      <c r="H28" s="15">
        <v>1939928710.04</v>
      </c>
      <c r="I28" s="16">
        <v>12</v>
      </c>
      <c r="J28" s="14" t="s">
        <v>132</v>
      </c>
      <c r="K28" s="17" t="s">
        <v>8</v>
      </c>
      <c r="L28" s="18">
        <v>1</v>
      </c>
      <c r="M28" s="23"/>
      <c r="N28" s="19" t="s">
        <v>133</v>
      </c>
      <c r="O28" s="23"/>
      <c r="P28" s="23" t="s">
        <v>0</v>
      </c>
      <c r="Q28" s="23"/>
      <c r="R28" s="19"/>
      <c r="S28" s="20">
        <f t="shared" si="0"/>
        <v>0.97787098576467024</v>
      </c>
      <c r="T28" s="20">
        <f t="shared" si="1"/>
        <v>2.2129014235329758E-2</v>
      </c>
      <c r="U28" s="21">
        <v>39.29</v>
      </c>
      <c r="V28" s="9"/>
      <c r="W28" s="9"/>
      <c r="X28" s="9"/>
      <c r="Y28" s="9"/>
      <c r="Z28" s="9"/>
      <c r="AA28" s="9"/>
    </row>
    <row r="29" spans="1:27" ht="14.25" customHeight="1">
      <c r="A29" s="29" t="s">
        <v>134</v>
      </c>
      <c r="B29" s="23">
        <v>69221114</v>
      </c>
      <c r="C29" s="23" t="s">
        <v>135</v>
      </c>
      <c r="D29" s="19" t="s">
        <v>136</v>
      </c>
      <c r="E29" s="22" t="s">
        <v>137</v>
      </c>
      <c r="F29" s="14" t="s">
        <v>0</v>
      </c>
      <c r="G29" s="15">
        <v>72035762000</v>
      </c>
      <c r="H29" s="15">
        <v>84067281538.490005</v>
      </c>
      <c r="I29" s="16">
        <v>48</v>
      </c>
      <c r="J29" s="14" t="s">
        <v>138</v>
      </c>
      <c r="K29" s="17" t="s">
        <v>0</v>
      </c>
      <c r="L29" s="18">
        <v>1</v>
      </c>
      <c r="M29" s="23"/>
      <c r="N29" s="19" t="s">
        <v>139</v>
      </c>
      <c r="O29" s="23"/>
      <c r="P29" s="23"/>
      <c r="Q29" s="23"/>
      <c r="R29" s="19"/>
      <c r="S29" s="20">
        <f t="shared" si="0"/>
        <v>0.85688225765952231</v>
      </c>
      <c r="T29" s="20">
        <f t="shared" si="1"/>
        <v>0.14311774234047769</v>
      </c>
      <c r="U29" s="21">
        <v>57.14</v>
      </c>
      <c r="V29" s="9"/>
      <c r="W29" s="9"/>
      <c r="X29" s="9"/>
      <c r="Y29" s="9"/>
      <c r="Z29" s="9"/>
      <c r="AA29" s="9"/>
    </row>
    <row r="30" spans="1:27" ht="14.25" customHeight="1">
      <c r="A30" s="29" t="s">
        <v>140</v>
      </c>
      <c r="B30" s="23">
        <v>84080114</v>
      </c>
      <c r="C30" s="23" t="s">
        <v>141</v>
      </c>
      <c r="D30" s="19" t="s">
        <v>142</v>
      </c>
      <c r="E30" s="22" t="s">
        <v>143</v>
      </c>
      <c r="F30" s="14" t="s">
        <v>0</v>
      </c>
      <c r="G30" s="15">
        <v>13221547000</v>
      </c>
      <c r="H30" s="15">
        <v>15657914691.290001</v>
      </c>
      <c r="I30" s="16">
        <v>53</v>
      </c>
      <c r="J30" s="14" t="s">
        <v>144</v>
      </c>
      <c r="K30" s="17" t="s">
        <v>0</v>
      </c>
      <c r="L30" s="18">
        <v>2</v>
      </c>
      <c r="M30" s="23"/>
      <c r="N30" s="31" t="s">
        <v>145</v>
      </c>
      <c r="O30" s="23"/>
      <c r="P30" s="23"/>
      <c r="Q30" s="23"/>
      <c r="R30" s="19"/>
      <c r="S30" s="20">
        <f t="shared" si="0"/>
        <v>0.84440024490328369</v>
      </c>
      <c r="T30" s="20">
        <f t="shared" si="1"/>
        <v>0.15559975509671631</v>
      </c>
      <c r="U30" s="28">
        <v>54</v>
      </c>
      <c r="V30" s="9"/>
      <c r="W30" s="9"/>
      <c r="X30" s="9"/>
      <c r="Y30" s="9"/>
      <c r="Z30" s="9"/>
      <c r="AA30" s="9"/>
    </row>
    <row r="31" spans="1:27" ht="14.25" customHeight="1">
      <c r="A31" s="29" t="s">
        <v>146</v>
      </c>
      <c r="B31" s="23">
        <v>69481114</v>
      </c>
      <c r="C31" s="23" t="s">
        <v>147</v>
      </c>
      <c r="D31" s="19" t="s">
        <v>148</v>
      </c>
      <c r="E31" s="22" t="s">
        <v>149</v>
      </c>
      <c r="F31" s="14" t="s">
        <v>0</v>
      </c>
      <c r="G31" s="15">
        <v>740461900</v>
      </c>
      <c r="H31" s="15">
        <v>867759200</v>
      </c>
      <c r="I31" s="16">
        <v>22</v>
      </c>
      <c r="J31" s="14" t="s">
        <v>150</v>
      </c>
      <c r="K31" s="17" t="s">
        <v>8</v>
      </c>
      <c r="L31" s="18">
        <v>1</v>
      </c>
      <c r="M31" s="23"/>
      <c r="N31" s="19" t="s">
        <v>151</v>
      </c>
      <c r="O31" s="23"/>
      <c r="P31" s="23"/>
      <c r="Q31" s="23"/>
      <c r="R31" s="19"/>
      <c r="S31" s="20">
        <f t="shared" si="0"/>
        <v>0.85330342795558956</v>
      </c>
      <c r="T31" s="20">
        <f t="shared" si="1"/>
        <v>0.14669657204441044</v>
      </c>
      <c r="U31" s="21">
        <v>46.43</v>
      </c>
      <c r="V31" s="9"/>
      <c r="W31" s="9"/>
      <c r="X31" s="9"/>
      <c r="Y31" s="9"/>
      <c r="Z31" s="9"/>
      <c r="AA31" s="9"/>
    </row>
    <row r="32" spans="1:27" ht="14.25" customHeight="1">
      <c r="A32" s="29" t="s">
        <v>146</v>
      </c>
      <c r="B32" s="23">
        <v>54706114</v>
      </c>
      <c r="C32" s="23" t="s">
        <v>147</v>
      </c>
      <c r="D32" s="19" t="s">
        <v>152</v>
      </c>
      <c r="E32" s="22" t="s">
        <v>153</v>
      </c>
      <c r="F32" s="14" t="s">
        <v>8</v>
      </c>
      <c r="G32" s="15">
        <v>614900000</v>
      </c>
      <c r="H32" s="15">
        <v>623938406.29999995</v>
      </c>
      <c r="I32" s="16">
        <v>15</v>
      </c>
      <c r="J32" s="14" t="s">
        <v>154</v>
      </c>
      <c r="K32" s="17" t="s">
        <v>0</v>
      </c>
      <c r="L32" s="18">
        <v>1</v>
      </c>
      <c r="M32" s="23"/>
      <c r="N32" s="19" t="s">
        <v>155</v>
      </c>
      <c r="O32" s="23"/>
      <c r="P32" s="23"/>
      <c r="Q32" s="23"/>
      <c r="R32" s="19"/>
      <c r="S32" s="20">
        <f t="shared" si="0"/>
        <v>0.9855139446318133</v>
      </c>
      <c r="T32" s="20">
        <f t="shared" si="1"/>
        <v>1.4486055368186701E-2</v>
      </c>
      <c r="U32" s="21">
        <v>46.43</v>
      </c>
      <c r="V32" s="9"/>
      <c r="W32" s="9"/>
      <c r="X32" s="9"/>
      <c r="Y32" s="9"/>
      <c r="Z32" s="9"/>
      <c r="AA32" s="9"/>
    </row>
    <row r="33" spans="1:27" ht="14.25" customHeight="1">
      <c r="A33" s="29" t="s">
        <v>146</v>
      </c>
      <c r="B33" s="23">
        <v>56620114</v>
      </c>
      <c r="C33" s="23" t="s">
        <v>147</v>
      </c>
      <c r="D33" s="19" t="s">
        <v>156</v>
      </c>
      <c r="E33" s="22" t="s">
        <v>157</v>
      </c>
      <c r="F33" s="14" t="s">
        <v>8</v>
      </c>
      <c r="G33" s="15">
        <v>270889000</v>
      </c>
      <c r="H33" s="15">
        <v>274578844.10000002</v>
      </c>
      <c r="I33" s="16">
        <v>16</v>
      </c>
      <c r="J33" s="14" t="s">
        <v>158</v>
      </c>
      <c r="K33" s="17" t="s">
        <v>0</v>
      </c>
      <c r="L33" s="18">
        <v>1</v>
      </c>
      <c r="M33" s="23"/>
      <c r="N33" s="23" t="s">
        <v>8</v>
      </c>
      <c r="O33" s="23"/>
      <c r="P33" s="23"/>
      <c r="Q33" s="23"/>
      <c r="R33" s="19"/>
      <c r="S33" s="20">
        <f t="shared" si="0"/>
        <v>0.98656180481750366</v>
      </c>
      <c r="T33" s="20">
        <f t="shared" si="1"/>
        <v>1.3438195182496337E-2</v>
      </c>
      <c r="U33" s="21">
        <v>42.86</v>
      </c>
      <c r="V33" s="9"/>
      <c r="W33" s="9"/>
      <c r="X33" s="9"/>
      <c r="Y33" s="9"/>
      <c r="Z33" s="9"/>
      <c r="AA33" s="9"/>
    </row>
    <row r="34" spans="1:27" ht="14.25" customHeight="1">
      <c r="A34" s="29" t="s">
        <v>159</v>
      </c>
      <c r="B34" s="23">
        <v>61325114</v>
      </c>
      <c r="C34" s="23" t="s">
        <v>160</v>
      </c>
      <c r="D34" s="19" t="s">
        <v>161</v>
      </c>
      <c r="E34" s="22" t="s">
        <v>162</v>
      </c>
      <c r="F34" s="14" t="s">
        <v>0</v>
      </c>
      <c r="G34" s="15">
        <v>18040000000</v>
      </c>
      <c r="H34" s="15">
        <v>19024419653.799999</v>
      </c>
      <c r="I34" s="16">
        <v>24</v>
      </c>
      <c r="J34" s="14" t="s">
        <v>163</v>
      </c>
      <c r="K34" s="17" t="s">
        <v>0</v>
      </c>
      <c r="L34" s="18">
        <v>1</v>
      </c>
      <c r="M34" s="23"/>
      <c r="N34" s="19" t="s">
        <v>164</v>
      </c>
      <c r="O34" s="23"/>
      <c r="P34" s="23"/>
      <c r="Q34" s="23"/>
      <c r="R34" s="19"/>
      <c r="S34" s="20">
        <f t="shared" si="0"/>
        <v>0.94825494434447211</v>
      </c>
      <c r="T34" s="20">
        <f t="shared" si="1"/>
        <v>5.1745055655527894E-2</v>
      </c>
      <c r="U34" s="28">
        <v>50</v>
      </c>
      <c r="V34" s="9"/>
      <c r="W34" s="9"/>
      <c r="X34" s="9"/>
      <c r="Y34" s="9"/>
      <c r="Z34" s="9"/>
      <c r="AA34" s="9"/>
    </row>
    <row r="35" spans="1:27" ht="14.25" customHeight="1">
      <c r="A35" s="29" t="s">
        <v>165</v>
      </c>
      <c r="B35" s="23">
        <v>66156114</v>
      </c>
      <c r="C35" s="23" t="s">
        <v>166</v>
      </c>
      <c r="D35" s="19" t="s">
        <v>167</v>
      </c>
      <c r="E35" s="22" t="s">
        <v>168</v>
      </c>
      <c r="F35" s="14" t="s">
        <v>0</v>
      </c>
      <c r="G35" s="15">
        <v>9350927792.4400005</v>
      </c>
      <c r="H35" s="15">
        <v>9749999823.1399994</v>
      </c>
      <c r="I35" s="16">
        <v>31</v>
      </c>
      <c r="J35" s="32" t="s">
        <v>169</v>
      </c>
      <c r="K35" s="17" t="s">
        <v>8</v>
      </c>
      <c r="L35" s="18">
        <v>1</v>
      </c>
      <c r="M35" s="23"/>
      <c r="N35" s="19" t="s">
        <v>170</v>
      </c>
      <c r="O35" s="23"/>
      <c r="P35" s="23"/>
      <c r="Q35" s="23"/>
      <c r="R35" s="19"/>
      <c r="S35" s="20">
        <f t="shared" si="0"/>
        <v>0.95906953457036292</v>
      </c>
      <c r="T35" s="20">
        <f t="shared" si="1"/>
        <v>4.0930465429637075E-2</v>
      </c>
      <c r="U35" s="21">
        <v>35.71</v>
      </c>
      <c r="V35" s="9"/>
      <c r="W35" s="9"/>
      <c r="X35" s="9"/>
      <c r="Y35" s="9"/>
      <c r="Z35" s="9"/>
      <c r="AA35" s="9"/>
    </row>
    <row r="36" spans="1:27" ht="14.25" customHeight="1">
      <c r="A36" s="29" t="s">
        <v>171</v>
      </c>
      <c r="B36" s="23">
        <v>67366114</v>
      </c>
      <c r="C36" s="23" t="s">
        <v>172</v>
      </c>
      <c r="D36" s="19" t="s">
        <v>173</v>
      </c>
      <c r="E36" s="22" t="s">
        <v>174</v>
      </c>
      <c r="F36" s="14" t="s">
        <v>0</v>
      </c>
      <c r="G36" s="15">
        <v>312522000</v>
      </c>
      <c r="H36" s="15">
        <v>317234203.48000002</v>
      </c>
      <c r="I36" s="16">
        <v>35</v>
      </c>
      <c r="J36" s="14" t="s">
        <v>175</v>
      </c>
      <c r="K36" s="17" t="s">
        <v>8</v>
      </c>
      <c r="L36" s="18">
        <v>1</v>
      </c>
      <c r="M36" s="23"/>
      <c r="N36" s="19" t="s">
        <v>176</v>
      </c>
      <c r="O36" s="23"/>
      <c r="P36" s="23"/>
      <c r="Q36" s="23"/>
      <c r="R36" s="19"/>
      <c r="S36" s="20">
        <f t="shared" si="0"/>
        <v>0.98514597912738278</v>
      </c>
      <c r="T36" s="20">
        <f t="shared" si="1"/>
        <v>1.4854020872617224E-2</v>
      </c>
      <c r="U36" s="21">
        <v>46.43</v>
      </c>
      <c r="V36" s="9"/>
      <c r="W36" s="9"/>
      <c r="X36" s="9"/>
      <c r="Y36" s="9"/>
      <c r="Z36" s="9"/>
      <c r="AA36" s="9"/>
    </row>
    <row r="37" spans="1:27" ht="14.25" customHeight="1">
      <c r="A37" s="29" t="s">
        <v>171</v>
      </c>
      <c r="B37" s="23">
        <v>67370114</v>
      </c>
      <c r="C37" s="23" t="s">
        <v>172</v>
      </c>
      <c r="D37" s="19" t="s">
        <v>177</v>
      </c>
      <c r="E37" s="22" t="s">
        <v>178</v>
      </c>
      <c r="F37" s="14" t="s">
        <v>0</v>
      </c>
      <c r="G37" s="15">
        <v>234435999</v>
      </c>
      <c r="H37" s="15">
        <v>237583321.97</v>
      </c>
      <c r="I37" s="16">
        <v>35</v>
      </c>
      <c r="J37" s="14" t="s">
        <v>175</v>
      </c>
      <c r="K37" s="17" t="s">
        <v>8</v>
      </c>
      <c r="L37" s="18">
        <v>1</v>
      </c>
      <c r="M37" s="23"/>
      <c r="N37" s="19" t="s">
        <v>179</v>
      </c>
      <c r="O37" s="23"/>
      <c r="P37" s="23"/>
      <c r="Q37" s="23"/>
      <c r="R37" s="19"/>
      <c r="S37" s="20">
        <f t="shared" si="0"/>
        <v>0.98675276133062317</v>
      </c>
      <c r="T37" s="20">
        <f t="shared" si="1"/>
        <v>1.3247238669376826E-2</v>
      </c>
      <c r="U37" s="21">
        <v>42.86</v>
      </c>
      <c r="V37" s="9"/>
      <c r="W37" s="9"/>
      <c r="X37" s="9"/>
      <c r="Y37" s="9"/>
      <c r="Z37" s="9"/>
      <c r="AA37" s="9"/>
    </row>
    <row r="38" spans="1:27" ht="14.25" customHeight="1">
      <c r="A38" s="29" t="s">
        <v>171</v>
      </c>
      <c r="B38" s="23">
        <v>67369114</v>
      </c>
      <c r="C38" s="23" t="s">
        <v>172</v>
      </c>
      <c r="D38" s="19" t="s">
        <v>180</v>
      </c>
      <c r="E38" s="22" t="s">
        <v>181</v>
      </c>
      <c r="F38" s="14" t="s">
        <v>0</v>
      </c>
      <c r="G38" s="15">
        <v>1250982000</v>
      </c>
      <c r="H38" s="15">
        <v>1270261697.4000001</v>
      </c>
      <c r="I38" s="16">
        <v>35</v>
      </c>
      <c r="J38" s="14" t="s">
        <v>175</v>
      </c>
      <c r="K38" s="17" t="s">
        <v>8</v>
      </c>
      <c r="L38" s="18">
        <v>1</v>
      </c>
      <c r="M38" s="23"/>
      <c r="N38" s="23" t="s">
        <v>8</v>
      </c>
      <c r="O38" s="23"/>
      <c r="P38" s="23"/>
      <c r="Q38" s="23"/>
      <c r="R38" s="19"/>
      <c r="S38" s="20">
        <f t="shared" si="0"/>
        <v>0.98482226344424761</v>
      </c>
      <c r="T38" s="20">
        <f t="shared" si="1"/>
        <v>1.5177736555752386E-2</v>
      </c>
      <c r="U38" s="21">
        <v>53.57</v>
      </c>
      <c r="V38" s="9"/>
      <c r="W38" s="9"/>
      <c r="X38" s="9"/>
      <c r="Y38" s="9"/>
      <c r="Z38" s="9"/>
      <c r="AA38" s="9"/>
    </row>
    <row r="39" spans="1:27" ht="14.25" customHeight="1">
      <c r="A39" s="29" t="s">
        <v>171</v>
      </c>
      <c r="B39" s="23">
        <v>70208114</v>
      </c>
      <c r="C39" s="23" t="s">
        <v>172</v>
      </c>
      <c r="D39" s="19" t="s">
        <v>182</v>
      </c>
      <c r="E39" s="22" t="s">
        <v>183</v>
      </c>
      <c r="F39" s="14" t="s">
        <v>0</v>
      </c>
      <c r="G39" s="15">
        <v>2887600000</v>
      </c>
      <c r="H39" s="15">
        <v>2977071684.9499998</v>
      </c>
      <c r="I39" s="16">
        <v>9</v>
      </c>
      <c r="J39" s="14" t="s">
        <v>184</v>
      </c>
      <c r="K39" s="17" t="s">
        <v>8</v>
      </c>
      <c r="L39" s="18">
        <v>1</v>
      </c>
      <c r="M39" s="23"/>
      <c r="N39" s="23" t="s">
        <v>8</v>
      </c>
      <c r="O39" s="23"/>
      <c r="P39" s="23"/>
      <c r="Q39" s="23"/>
      <c r="R39" s="19"/>
      <c r="S39" s="20">
        <f t="shared" si="0"/>
        <v>0.9699464123076692</v>
      </c>
      <c r="T39" s="20">
        <f t="shared" si="1"/>
        <v>3.0053587692330797E-2</v>
      </c>
      <c r="U39" s="21">
        <v>46.43</v>
      </c>
      <c r="V39" s="9"/>
      <c r="W39" s="9"/>
      <c r="X39" s="9"/>
      <c r="Y39" s="9"/>
      <c r="Z39" s="9"/>
      <c r="AA39" s="9"/>
    </row>
    <row r="40" spans="1:27" ht="14.25" customHeight="1">
      <c r="A40" s="29" t="s">
        <v>171</v>
      </c>
      <c r="B40" s="23">
        <v>68038114</v>
      </c>
      <c r="C40" s="23" t="s">
        <v>172</v>
      </c>
      <c r="D40" s="19" t="s">
        <v>185</v>
      </c>
      <c r="E40" s="22" t="s">
        <v>178</v>
      </c>
      <c r="F40" s="14" t="s">
        <v>0</v>
      </c>
      <c r="G40" s="15">
        <v>1861500000</v>
      </c>
      <c r="H40" s="15">
        <v>1890221040.46</v>
      </c>
      <c r="I40" s="16">
        <v>13</v>
      </c>
      <c r="J40" s="14" t="s">
        <v>186</v>
      </c>
      <c r="K40" s="17" t="s">
        <v>8</v>
      </c>
      <c r="L40" s="18">
        <v>1</v>
      </c>
      <c r="M40" s="23"/>
      <c r="N40" s="23" t="s">
        <v>8</v>
      </c>
      <c r="O40" s="23"/>
      <c r="P40" s="23"/>
      <c r="Q40" s="23"/>
      <c r="R40" s="19"/>
      <c r="S40" s="20">
        <f t="shared" si="0"/>
        <v>0.98480545933770236</v>
      </c>
      <c r="T40" s="20">
        <f t="shared" si="1"/>
        <v>1.519454066229764E-2</v>
      </c>
      <c r="U40" s="21">
        <v>42.86</v>
      </c>
      <c r="V40" s="9"/>
      <c r="W40" s="9"/>
      <c r="X40" s="9"/>
      <c r="Y40" s="9"/>
      <c r="Z40" s="9"/>
      <c r="AA40" s="9"/>
    </row>
    <row r="41" spans="1:27" ht="14.25" customHeight="1">
      <c r="A41" s="29" t="s">
        <v>171</v>
      </c>
      <c r="B41" s="23">
        <v>68039114</v>
      </c>
      <c r="C41" s="23" t="s">
        <v>172</v>
      </c>
      <c r="D41" s="19" t="s">
        <v>187</v>
      </c>
      <c r="E41" s="22" t="s">
        <v>178</v>
      </c>
      <c r="F41" s="14" t="s">
        <v>8</v>
      </c>
      <c r="G41" s="15">
        <v>1374768000</v>
      </c>
      <c r="H41" s="15">
        <v>1220034294.5699999</v>
      </c>
      <c r="I41" s="16">
        <v>13</v>
      </c>
      <c r="J41" s="14" t="s">
        <v>186</v>
      </c>
      <c r="K41" s="17" t="s">
        <v>8</v>
      </c>
      <c r="L41" s="18">
        <v>1</v>
      </c>
      <c r="M41" s="23"/>
      <c r="N41" s="23" t="s">
        <v>8</v>
      </c>
      <c r="O41" s="23"/>
      <c r="P41" s="23"/>
      <c r="Q41" s="23"/>
      <c r="R41" s="19"/>
      <c r="S41" s="20">
        <f t="shared" si="0"/>
        <v>1.1268273409351464</v>
      </c>
      <c r="T41" s="20">
        <f t="shared" si="1"/>
        <v>-0.12682734093514636</v>
      </c>
      <c r="U41" s="21">
        <v>42.86</v>
      </c>
      <c r="V41" s="9"/>
      <c r="W41" s="9"/>
      <c r="X41" s="9"/>
      <c r="Y41" s="9"/>
      <c r="Z41" s="9"/>
      <c r="AA41" s="9"/>
    </row>
    <row r="42" spans="1:27" ht="14.25" customHeight="1">
      <c r="A42" s="29" t="s">
        <v>188</v>
      </c>
      <c r="B42" s="23">
        <v>66257114</v>
      </c>
      <c r="C42" s="23" t="s">
        <v>189</v>
      </c>
      <c r="D42" s="19" t="s">
        <v>190</v>
      </c>
      <c r="E42" s="22" t="s">
        <v>191</v>
      </c>
      <c r="F42" s="14" t="s">
        <v>8</v>
      </c>
      <c r="G42" s="15">
        <v>2660000000</v>
      </c>
      <c r="H42" s="15">
        <v>2695592079.0100002</v>
      </c>
      <c r="I42" s="16">
        <v>22</v>
      </c>
      <c r="J42" s="14" t="s">
        <v>192</v>
      </c>
      <c r="K42" s="17" t="s">
        <v>8</v>
      </c>
      <c r="L42" s="18">
        <v>1</v>
      </c>
      <c r="M42" s="23"/>
      <c r="N42" s="23" t="s">
        <v>8</v>
      </c>
      <c r="O42" s="23"/>
      <c r="P42" s="23"/>
      <c r="Q42" s="23"/>
      <c r="R42" s="19"/>
      <c r="S42" s="20">
        <f t="shared" si="0"/>
        <v>0.98679619246281802</v>
      </c>
      <c r="T42" s="20">
        <f t="shared" si="1"/>
        <v>1.3203807537181977E-2</v>
      </c>
      <c r="U42" s="21">
        <v>46.43</v>
      </c>
      <c r="V42" s="9"/>
      <c r="W42" s="9"/>
      <c r="X42" s="9"/>
      <c r="Y42" s="9"/>
      <c r="Z42" s="9"/>
      <c r="AA42" s="9"/>
    </row>
    <row r="43" spans="1:27" ht="14.25" customHeight="1">
      <c r="A43" s="29" t="s">
        <v>193</v>
      </c>
      <c r="B43" s="23">
        <v>52738114</v>
      </c>
      <c r="C43" s="23" t="s">
        <v>194</v>
      </c>
      <c r="D43" s="19" t="s">
        <v>195</v>
      </c>
      <c r="E43" s="22" t="s">
        <v>196</v>
      </c>
      <c r="F43" s="14" t="s">
        <v>0</v>
      </c>
      <c r="G43" s="15">
        <v>738500000</v>
      </c>
      <c r="H43" s="15">
        <v>749771016.65999997</v>
      </c>
      <c r="I43" s="16">
        <v>26</v>
      </c>
      <c r="J43" s="14" t="s">
        <v>197</v>
      </c>
      <c r="K43" s="17" t="s">
        <v>8</v>
      </c>
      <c r="L43" s="18">
        <v>1</v>
      </c>
      <c r="M43" s="23"/>
      <c r="N43" s="23" t="s">
        <v>8</v>
      </c>
      <c r="O43" s="23"/>
      <c r="P43" s="23"/>
      <c r="Q43" s="23"/>
      <c r="R43" s="19"/>
      <c r="S43" s="20">
        <f t="shared" si="0"/>
        <v>0.98496738816311025</v>
      </c>
      <c r="T43" s="20">
        <f t="shared" si="1"/>
        <v>1.5032611836889753E-2</v>
      </c>
      <c r="U43" s="21">
        <v>50</v>
      </c>
      <c r="V43" s="9"/>
      <c r="W43" s="9"/>
      <c r="X43" s="9"/>
      <c r="Y43" s="9"/>
      <c r="Z43" s="9"/>
      <c r="AA43" s="9"/>
    </row>
    <row r="44" spans="1:27" ht="14.25" customHeight="1">
      <c r="A44" s="29" t="s">
        <v>193</v>
      </c>
      <c r="B44" s="23">
        <v>52215114</v>
      </c>
      <c r="C44" s="23" t="s">
        <v>194</v>
      </c>
      <c r="D44" s="19" t="s">
        <v>198</v>
      </c>
      <c r="E44" s="22" t="s">
        <v>199</v>
      </c>
      <c r="F44" s="14" t="s">
        <v>0</v>
      </c>
      <c r="G44" s="15">
        <v>806000000</v>
      </c>
      <c r="H44" s="15">
        <v>848702583.12</v>
      </c>
      <c r="I44" s="16">
        <v>21</v>
      </c>
      <c r="J44" s="14" t="s">
        <v>200</v>
      </c>
      <c r="K44" s="17" t="s">
        <v>8</v>
      </c>
      <c r="L44" s="18">
        <v>1</v>
      </c>
      <c r="M44" s="23"/>
      <c r="N44" s="23" t="s">
        <v>8</v>
      </c>
      <c r="O44" s="23"/>
      <c r="P44" s="23"/>
      <c r="Q44" s="23"/>
      <c r="R44" s="19"/>
      <c r="S44" s="20">
        <f t="shared" si="0"/>
        <v>0.94968486726761592</v>
      </c>
      <c r="T44" s="20">
        <f t="shared" si="1"/>
        <v>5.0315132732384082E-2</v>
      </c>
      <c r="U44" s="21">
        <v>32.14</v>
      </c>
      <c r="V44" s="9"/>
      <c r="W44" s="9"/>
      <c r="X44" s="9"/>
      <c r="Y44" s="9"/>
      <c r="Z44" s="9"/>
      <c r="AA44" s="9"/>
    </row>
    <row r="45" spans="1:27" ht="14.25" customHeight="1">
      <c r="A45" s="29" t="s">
        <v>193</v>
      </c>
      <c r="B45" s="23">
        <v>52174114</v>
      </c>
      <c r="C45" s="23" t="s">
        <v>194</v>
      </c>
      <c r="D45" s="19" t="s">
        <v>201</v>
      </c>
      <c r="E45" s="22" t="s">
        <v>202</v>
      </c>
      <c r="F45" s="14" t="s">
        <v>0</v>
      </c>
      <c r="G45" s="15">
        <v>6976000000</v>
      </c>
      <c r="H45" s="15">
        <v>7074925336.1199999</v>
      </c>
      <c r="I45" s="16">
        <v>15</v>
      </c>
      <c r="J45" s="14" t="s">
        <v>203</v>
      </c>
      <c r="K45" s="17" t="s">
        <v>8</v>
      </c>
      <c r="L45" s="18">
        <v>1</v>
      </c>
      <c r="M45" s="23"/>
      <c r="N45" s="23" t="s">
        <v>8</v>
      </c>
      <c r="O45" s="23"/>
      <c r="P45" s="23"/>
      <c r="Q45" s="23"/>
      <c r="R45" s="19"/>
      <c r="S45" s="20">
        <f t="shared" si="0"/>
        <v>0.98601747277600926</v>
      </c>
      <c r="T45" s="20">
        <f t="shared" si="1"/>
        <v>1.3982527223990737E-2</v>
      </c>
      <c r="U45" s="21">
        <v>46.43</v>
      </c>
      <c r="V45" s="9"/>
      <c r="W45" s="9"/>
      <c r="X45" s="9"/>
      <c r="Y45" s="9"/>
      <c r="Z45" s="9"/>
      <c r="AA45" s="9"/>
    </row>
    <row r="46" spans="1:27" ht="14.25" customHeight="1">
      <c r="A46" s="29" t="s">
        <v>193</v>
      </c>
      <c r="B46" s="23">
        <v>55120114</v>
      </c>
      <c r="C46" s="23" t="s">
        <v>194</v>
      </c>
      <c r="D46" s="19" t="s">
        <v>204</v>
      </c>
      <c r="E46" s="22" t="s">
        <v>205</v>
      </c>
      <c r="F46" s="14" t="s">
        <v>0</v>
      </c>
      <c r="G46" s="15">
        <v>12337441000</v>
      </c>
      <c r="H46" s="15">
        <v>12759749246.02</v>
      </c>
      <c r="I46" s="16">
        <v>21</v>
      </c>
      <c r="J46" s="14" t="s">
        <v>206</v>
      </c>
      <c r="K46" s="17" t="s">
        <v>8</v>
      </c>
      <c r="L46" s="18">
        <v>1</v>
      </c>
      <c r="M46" s="23"/>
      <c r="N46" s="23" t="s">
        <v>8</v>
      </c>
      <c r="O46" s="23"/>
      <c r="P46" s="23"/>
      <c r="Q46" s="23"/>
      <c r="R46" s="19"/>
      <c r="S46" s="20">
        <f t="shared" si="0"/>
        <v>0.96690309206885661</v>
      </c>
      <c r="T46" s="20">
        <f t="shared" si="1"/>
        <v>3.3096907931143393E-2</v>
      </c>
      <c r="U46" s="21">
        <v>39.29</v>
      </c>
      <c r="V46" s="9"/>
      <c r="W46" s="9"/>
      <c r="X46" s="9"/>
      <c r="Y46" s="9"/>
      <c r="Z46" s="9"/>
      <c r="AA46" s="9"/>
    </row>
    <row r="47" spans="1:27" ht="14.25" customHeight="1">
      <c r="A47" s="29" t="s">
        <v>193</v>
      </c>
      <c r="B47" s="23">
        <v>54954114</v>
      </c>
      <c r="C47" s="23" t="s">
        <v>194</v>
      </c>
      <c r="D47" s="19" t="s">
        <v>207</v>
      </c>
      <c r="E47" s="22" t="s">
        <v>208</v>
      </c>
      <c r="F47" s="14" t="s">
        <v>0</v>
      </c>
      <c r="G47" s="15">
        <v>4277000000</v>
      </c>
      <c r="H47" s="15">
        <v>4331115608.8900003</v>
      </c>
      <c r="I47" s="16">
        <v>13</v>
      </c>
      <c r="J47" s="14" t="s">
        <v>209</v>
      </c>
      <c r="K47" s="17" t="s">
        <v>8</v>
      </c>
      <c r="L47" s="18">
        <v>1</v>
      </c>
      <c r="M47" s="23"/>
      <c r="N47" s="23" t="s">
        <v>8</v>
      </c>
      <c r="O47" s="23"/>
      <c r="P47" s="23"/>
      <c r="Q47" s="23"/>
      <c r="R47" s="19"/>
      <c r="S47" s="20">
        <f t="shared" si="0"/>
        <v>0.98750538803930255</v>
      </c>
      <c r="T47" s="20">
        <f t="shared" si="1"/>
        <v>1.2494611960697455E-2</v>
      </c>
      <c r="U47" s="21">
        <v>39.29</v>
      </c>
      <c r="V47" s="9"/>
      <c r="W47" s="9"/>
      <c r="X47" s="9"/>
      <c r="Y47" s="9"/>
      <c r="Z47" s="9"/>
      <c r="AA47" s="9"/>
    </row>
    <row r="48" spans="1:27" ht="14.25" customHeight="1">
      <c r="A48" s="29" t="s">
        <v>210</v>
      </c>
      <c r="B48" s="23">
        <v>63647114</v>
      </c>
      <c r="C48" s="23" t="s">
        <v>211</v>
      </c>
      <c r="D48" s="19" t="s">
        <v>212</v>
      </c>
      <c r="E48" s="22" t="s">
        <v>213</v>
      </c>
      <c r="F48" s="14" t="s">
        <v>0</v>
      </c>
      <c r="G48" s="15">
        <v>4810000000</v>
      </c>
      <c r="H48" s="15">
        <v>4327646281.4700003</v>
      </c>
      <c r="I48" s="16">
        <v>16</v>
      </c>
      <c r="J48" s="14" t="s">
        <v>214</v>
      </c>
      <c r="K48" s="17" t="s">
        <v>8</v>
      </c>
      <c r="L48" s="18">
        <v>1</v>
      </c>
      <c r="M48" s="23"/>
      <c r="N48" s="23" t="s">
        <v>8</v>
      </c>
      <c r="O48" s="23"/>
      <c r="P48" s="23"/>
      <c r="Q48" s="23"/>
      <c r="R48" s="19"/>
      <c r="S48" s="20">
        <f t="shared" si="0"/>
        <v>1.1114586745675885</v>
      </c>
      <c r="T48" s="20">
        <f t="shared" si="1"/>
        <v>-0.11145867456758851</v>
      </c>
      <c r="U48" s="21">
        <v>35.71</v>
      </c>
      <c r="V48" s="9"/>
      <c r="W48" s="9"/>
      <c r="X48" s="9"/>
      <c r="Y48" s="9"/>
      <c r="Z48" s="9"/>
      <c r="AA48" s="9"/>
    </row>
    <row r="49" spans="1:27" ht="14.25" customHeight="1">
      <c r="A49" s="29" t="s">
        <v>210</v>
      </c>
      <c r="B49" s="23">
        <v>62458114</v>
      </c>
      <c r="C49" s="23" t="s">
        <v>211</v>
      </c>
      <c r="D49" s="19" t="s">
        <v>215</v>
      </c>
      <c r="E49" s="22" t="s">
        <v>216</v>
      </c>
      <c r="F49" s="14" t="s">
        <v>0</v>
      </c>
      <c r="G49" s="15">
        <v>665000000</v>
      </c>
      <c r="H49" s="15">
        <v>589099574.60000002</v>
      </c>
      <c r="I49" s="16">
        <v>23</v>
      </c>
      <c r="J49" s="14" t="s">
        <v>217</v>
      </c>
      <c r="K49" s="17" t="s">
        <v>8</v>
      </c>
      <c r="L49" s="18">
        <v>1</v>
      </c>
      <c r="M49" s="23"/>
      <c r="N49" s="19" t="s">
        <v>218</v>
      </c>
      <c r="O49" s="23"/>
      <c r="P49" s="23"/>
      <c r="Q49" s="23"/>
      <c r="R49" s="19"/>
      <c r="S49" s="20">
        <f t="shared" si="0"/>
        <v>1.1288414194689185</v>
      </c>
      <c r="T49" s="20">
        <f t="shared" si="1"/>
        <v>-0.12884141946891847</v>
      </c>
      <c r="U49" s="21">
        <v>57.14</v>
      </c>
      <c r="V49" s="9"/>
      <c r="W49" s="9"/>
      <c r="X49" s="9"/>
      <c r="Y49" s="9"/>
      <c r="Z49" s="9"/>
      <c r="AA49" s="9"/>
    </row>
    <row r="50" spans="1:27" ht="14.25" customHeight="1">
      <c r="A50" s="29" t="s">
        <v>210</v>
      </c>
      <c r="B50" s="23">
        <v>62456114</v>
      </c>
      <c r="C50" s="23" t="s">
        <v>211</v>
      </c>
      <c r="D50" s="19" t="s">
        <v>219</v>
      </c>
      <c r="E50" s="22" t="s">
        <v>220</v>
      </c>
      <c r="F50" s="14" t="s">
        <v>0</v>
      </c>
      <c r="G50" s="15">
        <v>665000000</v>
      </c>
      <c r="H50" s="15">
        <v>589099574.60000002</v>
      </c>
      <c r="I50" s="16">
        <v>23</v>
      </c>
      <c r="J50" s="32" t="s">
        <v>217</v>
      </c>
      <c r="K50" s="17" t="s">
        <v>8</v>
      </c>
      <c r="L50" s="18">
        <v>1</v>
      </c>
      <c r="M50" s="23"/>
      <c r="N50" s="23" t="s">
        <v>8</v>
      </c>
      <c r="O50" s="23"/>
      <c r="P50" s="23"/>
      <c r="Q50" s="23"/>
      <c r="R50" s="19"/>
      <c r="S50" s="20">
        <f t="shared" si="0"/>
        <v>1.1288414194689185</v>
      </c>
      <c r="T50" s="20">
        <f t="shared" si="1"/>
        <v>-0.12884141946891847</v>
      </c>
      <c r="U50" s="21">
        <v>50</v>
      </c>
      <c r="V50" s="9"/>
      <c r="W50" s="9"/>
      <c r="X50" s="9"/>
      <c r="Y50" s="9"/>
      <c r="Z50" s="9"/>
      <c r="AA50" s="9"/>
    </row>
    <row r="51" spans="1:27" ht="14.25" customHeight="1">
      <c r="A51" s="29" t="s">
        <v>210</v>
      </c>
      <c r="B51" s="23">
        <v>54066114</v>
      </c>
      <c r="C51" s="23" t="s">
        <v>211</v>
      </c>
      <c r="D51" s="19" t="s">
        <v>221</v>
      </c>
      <c r="E51" s="22" t="s">
        <v>222</v>
      </c>
      <c r="F51" s="14" t="s">
        <v>8</v>
      </c>
      <c r="G51" s="15">
        <v>3385400000</v>
      </c>
      <c r="H51" s="15">
        <v>3605650000</v>
      </c>
      <c r="I51" s="16">
        <v>36</v>
      </c>
      <c r="J51" s="14" t="s">
        <v>223</v>
      </c>
      <c r="K51" s="17" t="s">
        <v>8</v>
      </c>
      <c r="L51" s="18">
        <v>1</v>
      </c>
      <c r="M51" s="23"/>
      <c r="N51" s="19" t="s">
        <v>224</v>
      </c>
      <c r="O51" s="23"/>
      <c r="P51" s="23"/>
      <c r="Q51" s="23"/>
      <c r="R51" s="19"/>
      <c r="S51" s="20">
        <f t="shared" si="0"/>
        <v>0.93891531346636525</v>
      </c>
      <c r="T51" s="20">
        <f t="shared" si="1"/>
        <v>6.1084686533634747E-2</v>
      </c>
      <c r="U51" s="21">
        <v>39.29</v>
      </c>
      <c r="V51" s="9"/>
      <c r="W51" s="9"/>
      <c r="X51" s="9"/>
      <c r="Y51" s="9"/>
      <c r="Z51" s="9"/>
      <c r="AA51" s="9"/>
    </row>
    <row r="52" spans="1:27" ht="14.25" customHeight="1">
      <c r="A52" s="29" t="s">
        <v>210</v>
      </c>
      <c r="B52" s="23">
        <v>65053114</v>
      </c>
      <c r="C52" s="23" t="s">
        <v>211</v>
      </c>
      <c r="D52" s="19" t="s">
        <v>225</v>
      </c>
      <c r="E52" s="22" t="s">
        <v>222</v>
      </c>
      <c r="F52" s="14" t="s">
        <v>8</v>
      </c>
      <c r="G52" s="15">
        <v>8581554000</v>
      </c>
      <c r="H52" s="15">
        <v>8618000000</v>
      </c>
      <c r="I52" s="16">
        <v>16</v>
      </c>
      <c r="J52" s="14" t="s">
        <v>226</v>
      </c>
      <c r="K52" s="17" t="s">
        <v>8</v>
      </c>
      <c r="L52" s="18">
        <v>1</v>
      </c>
      <c r="M52" s="23"/>
      <c r="N52" s="23" t="s">
        <v>8</v>
      </c>
      <c r="O52" s="23"/>
      <c r="P52" s="23"/>
      <c r="Q52" s="23"/>
      <c r="R52" s="19"/>
      <c r="S52" s="20">
        <f t="shared" si="0"/>
        <v>0.99577094453469484</v>
      </c>
      <c r="T52" s="20">
        <f t="shared" si="1"/>
        <v>4.2290554653051649E-3</v>
      </c>
      <c r="U52" s="21">
        <v>64.290000000000006</v>
      </c>
      <c r="V52" s="9"/>
      <c r="W52" s="9"/>
      <c r="X52" s="9"/>
      <c r="Y52" s="9"/>
      <c r="Z52" s="9"/>
      <c r="AA52" s="9"/>
    </row>
    <row r="53" spans="1:27" ht="14.25" customHeight="1">
      <c r="A53" s="29" t="s">
        <v>210</v>
      </c>
      <c r="B53" s="23">
        <v>61143114</v>
      </c>
      <c r="C53" s="23" t="s">
        <v>211</v>
      </c>
      <c r="D53" s="19" t="s">
        <v>227</v>
      </c>
      <c r="E53" s="22" t="s">
        <v>228</v>
      </c>
      <c r="F53" s="14" t="s">
        <v>8</v>
      </c>
      <c r="G53" s="15">
        <v>2571887000</v>
      </c>
      <c r="H53" s="15">
        <v>2580118280</v>
      </c>
      <c r="I53" s="16">
        <v>25</v>
      </c>
      <c r="J53" s="14" t="s">
        <v>229</v>
      </c>
      <c r="K53" s="17" t="s">
        <v>8</v>
      </c>
      <c r="L53" s="18">
        <v>2</v>
      </c>
      <c r="M53" s="23"/>
      <c r="N53" s="19" t="s">
        <v>230</v>
      </c>
      <c r="O53" s="23"/>
      <c r="P53" s="23"/>
      <c r="Q53" s="23"/>
      <c r="R53" s="19"/>
      <c r="S53" s="20">
        <f t="shared" si="0"/>
        <v>0.99680972765326092</v>
      </c>
      <c r="T53" s="20">
        <f t="shared" si="1"/>
        <v>3.1902723467390759E-3</v>
      </c>
      <c r="U53" s="21">
        <v>57.14</v>
      </c>
      <c r="V53" s="9"/>
      <c r="W53" s="9"/>
      <c r="X53" s="9"/>
      <c r="Y53" s="9"/>
      <c r="Z53" s="9"/>
      <c r="AA53" s="9"/>
    </row>
    <row r="54" spans="1:27" ht="14.25" customHeight="1">
      <c r="A54" s="29" t="s">
        <v>210</v>
      </c>
      <c r="B54" s="23">
        <v>61144114</v>
      </c>
      <c r="C54" s="23" t="s">
        <v>211</v>
      </c>
      <c r="D54" s="19" t="s">
        <v>231</v>
      </c>
      <c r="E54" s="22" t="s">
        <v>87</v>
      </c>
      <c r="F54" s="14" t="s">
        <v>8</v>
      </c>
      <c r="G54" s="15">
        <v>3911174000</v>
      </c>
      <c r="H54" s="15">
        <v>3933828160</v>
      </c>
      <c r="I54" s="16">
        <v>25</v>
      </c>
      <c r="J54" s="14" t="s">
        <v>232</v>
      </c>
      <c r="K54" s="17" t="s">
        <v>8</v>
      </c>
      <c r="L54" s="18">
        <v>2</v>
      </c>
      <c r="M54" s="23"/>
      <c r="N54" s="19" t="s">
        <v>230</v>
      </c>
      <c r="O54" s="23"/>
      <c r="P54" s="23"/>
      <c r="Q54" s="23"/>
      <c r="R54" s="19"/>
      <c r="S54" s="20">
        <f t="shared" si="0"/>
        <v>0.99424119227414343</v>
      </c>
      <c r="T54" s="20">
        <f t="shared" si="1"/>
        <v>5.758807725856574E-3</v>
      </c>
      <c r="U54" s="21">
        <v>57.14</v>
      </c>
      <c r="V54" s="9"/>
      <c r="W54" s="9"/>
      <c r="X54" s="9"/>
      <c r="Y54" s="9"/>
      <c r="Z54" s="9"/>
      <c r="AA54" s="9"/>
    </row>
    <row r="55" spans="1:27" ht="14.25" customHeight="1">
      <c r="A55" s="29" t="s">
        <v>233</v>
      </c>
      <c r="B55" s="23">
        <v>39033114</v>
      </c>
      <c r="C55" s="23" t="s">
        <v>234</v>
      </c>
      <c r="D55" s="19" t="s">
        <v>235</v>
      </c>
      <c r="E55" s="22" t="s">
        <v>236</v>
      </c>
      <c r="F55" s="14" t="s">
        <v>0</v>
      </c>
      <c r="G55" s="15">
        <v>8666869000</v>
      </c>
      <c r="H55" s="15">
        <v>8774610000</v>
      </c>
      <c r="I55" s="16">
        <v>11</v>
      </c>
      <c r="J55" s="14" t="s">
        <v>237</v>
      </c>
      <c r="K55" s="17" t="s">
        <v>8</v>
      </c>
      <c r="L55" s="18">
        <v>1</v>
      </c>
      <c r="M55" s="23"/>
      <c r="N55" s="23" t="s">
        <v>8</v>
      </c>
      <c r="O55" s="23"/>
      <c r="P55" s="23"/>
      <c r="Q55" s="23"/>
      <c r="R55" s="19"/>
      <c r="S55" s="20">
        <f t="shared" si="0"/>
        <v>0.98772127764082962</v>
      </c>
      <c r="T55" s="20">
        <f t="shared" si="1"/>
        <v>1.227872235917038E-2</v>
      </c>
      <c r="U55" s="21">
        <v>39.29</v>
      </c>
      <c r="V55" s="9"/>
      <c r="W55" s="9"/>
      <c r="X55" s="9"/>
      <c r="Y55" s="9"/>
      <c r="Z55" s="9"/>
      <c r="AA55" s="9"/>
    </row>
    <row r="56" spans="1:27" ht="14.25" customHeight="1">
      <c r="A56" s="33" t="s">
        <v>238</v>
      </c>
      <c r="B56" s="17">
        <v>86890114</v>
      </c>
      <c r="C56" s="18" t="s">
        <v>239</v>
      </c>
      <c r="D56" s="34" t="s">
        <v>240</v>
      </c>
      <c r="E56" s="35" t="s">
        <v>137</v>
      </c>
      <c r="F56" s="36" t="s">
        <v>0</v>
      </c>
      <c r="G56" s="37">
        <v>48933251589</v>
      </c>
      <c r="H56" s="37">
        <v>61166564000</v>
      </c>
      <c r="I56" s="18">
        <v>49</v>
      </c>
      <c r="J56" s="35" t="s">
        <v>241</v>
      </c>
      <c r="K56" s="18" t="s">
        <v>0</v>
      </c>
      <c r="L56" s="18">
        <v>1</v>
      </c>
      <c r="M56" s="18" t="s">
        <v>0</v>
      </c>
      <c r="N56" s="18" t="s">
        <v>242</v>
      </c>
      <c r="O56" s="17"/>
      <c r="P56" s="17"/>
      <c r="Q56" s="17"/>
      <c r="R56" s="19"/>
      <c r="S56" s="20">
        <f t="shared" si="0"/>
        <v>0.80000000635968371</v>
      </c>
      <c r="T56" s="20">
        <f t="shared" si="1"/>
        <v>0.19999999364031629</v>
      </c>
      <c r="U56" s="28">
        <v>64</v>
      </c>
      <c r="V56" s="9"/>
      <c r="W56" s="9"/>
      <c r="X56" s="9"/>
      <c r="Y56" s="9"/>
      <c r="Z56" s="9"/>
      <c r="AA56" s="9"/>
    </row>
    <row r="57" spans="1:27" ht="14.25" customHeight="1">
      <c r="A57" s="33" t="s">
        <v>238</v>
      </c>
      <c r="B57" s="17">
        <v>86887114</v>
      </c>
      <c r="C57" s="18" t="s">
        <v>239</v>
      </c>
      <c r="D57" s="34" t="s">
        <v>240</v>
      </c>
      <c r="E57" s="35" t="s">
        <v>243</v>
      </c>
      <c r="F57" s="36" t="s">
        <v>0</v>
      </c>
      <c r="G57" s="37">
        <v>56187131677.599998</v>
      </c>
      <c r="H57" s="37">
        <v>66183153000</v>
      </c>
      <c r="I57" s="18">
        <v>27</v>
      </c>
      <c r="J57" s="35" t="s">
        <v>244</v>
      </c>
      <c r="K57" s="18" t="s">
        <v>0</v>
      </c>
      <c r="L57" s="18">
        <v>1</v>
      </c>
      <c r="M57" s="18" t="s">
        <v>0</v>
      </c>
      <c r="N57" s="18" t="s">
        <v>242</v>
      </c>
      <c r="O57" s="17"/>
      <c r="P57" s="17"/>
      <c r="Q57" s="17"/>
      <c r="R57" s="19"/>
      <c r="S57" s="20">
        <f t="shared" si="0"/>
        <v>0.848964262515568</v>
      </c>
      <c r="T57" s="20">
        <f t="shared" si="1"/>
        <v>0.151035737484432</v>
      </c>
      <c r="U57" s="28">
        <v>50</v>
      </c>
      <c r="V57" s="9"/>
      <c r="W57" s="9"/>
      <c r="X57" s="9"/>
      <c r="Y57" s="9"/>
      <c r="Z57" s="9"/>
      <c r="AA57" s="9"/>
    </row>
    <row r="58" spans="1:27" ht="14.25" customHeight="1">
      <c r="A58" s="33" t="s">
        <v>238</v>
      </c>
      <c r="B58" s="38">
        <v>86889114</v>
      </c>
      <c r="C58" s="18" t="s">
        <v>239</v>
      </c>
      <c r="D58" s="16" t="s">
        <v>245</v>
      </c>
      <c r="E58" s="35" t="s">
        <v>246</v>
      </c>
      <c r="F58" s="36" t="s">
        <v>0</v>
      </c>
      <c r="G58" s="37">
        <v>48489343210</v>
      </c>
      <c r="H58" s="37">
        <v>60611678000</v>
      </c>
      <c r="I58" s="18">
        <v>27</v>
      </c>
      <c r="J58" s="35" t="s">
        <v>244</v>
      </c>
      <c r="K58" s="18" t="s">
        <v>0</v>
      </c>
      <c r="L58" s="18">
        <v>1</v>
      </c>
      <c r="M58" s="18" t="s">
        <v>0</v>
      </c>
      <c r="N58" s="18" t="s">
        <v>242</v>
      </c>
      <c r="O58" s="17"/>
      <c r="P58" s="17"/>
      <c r="Q58" s="17"/>
      <c r="R58" s="19"/>
      <c r="S58" s="20">
        <f t="shared" si="0"/>
        <v>0.80000001336376136</v>
      </c>
      <c r="T58" s="20">
        <f t="shared" si="1"/>
        <v>0.19999998663623864</v>
      </c>
      <c r="U58" s="28">
        <v>46</v>
      </c>
      <c r="V58" s="9"/>
      <c r="W58" s="9"/>
      <c r="X58" s="9"/>
      <c r="Y58" s="9"/>
      <c r="Z58" s="9"/>
      <c r="AA58" s="9"/>
    </row>
    <row r="59" spans="1:27" ht="14.25" customHeight="1">
      <c r="A59" s="33" t="s">
        <v>247</v>
      </c>
      <c r="B59" s="38">
        <v>56582114</v>
      </c>
      <c r="C59" s="17"/>
      <c r="D59" s="16" t="s">
        <v>248</v>
      </c>
      <c r="E59" s="14" t="s">
        <v>249</v>
      </c>
      <c r="F59" s="39" t="s">
        <v>8</v>
      </c>
      <c r="G59" s="15">
        <v>44364880049</v>
      </c>
      <c r="H59" s="15">
        <v>45275514354.300003</v>
      </c>
      <c r="I59" s="17">
        <v>28</v>
      </c>
      <c r="J59" s="14" t="s">
        <v>250</v>
      </c>
      <c r="K59" s="17" t="s">
        <v>8</v>
      </c>
      <c r="L59" s="18">
        <v>1</v>
      </c>
      <c r="M59" s="17"/>
      <c r="N59" s="17" t="s">
        <v>251</v>
      </c>
      <c r="O59" s="17" t="s">
        <v>35</v>
      </c>
      <c r="P59" s="17" t="s">
        <v>35</v>
      </c>
      <c r="Q59" s="17" t="s">
        <v>35</v>
      </c>
      <c r="R59" s="19" t="s">
        <v>252</v>
      </c>
      <c r="S59" s="20">
        <f t="shared" si="0"/>
        <v>0.97988682584202347</v>
      </c>
      <c r="T59" s="20">
        <f t="shared" si="1"/>
        <v>2.0113174157976532E-2</v>
      </c>
      <c r="U59" s="21">
        <v>57.14</v>
      </c>
      <c r="V59" s="9"/>
      <c r="W59" s="9"/>
      <c r="X59" s="9"/>
      <c r="Y59" s="9"/>
      <c r="Z59" s="9"/>
      <c r="AA59" s="9"/>
    </row>
    <row r="60" spans="1:27" ht="14.25" customHeight="1">
      <c r="A60" s="33" t="s">
        <v>247</v>
      </c>
      <c r="B60" s="38">
        <v>71335114</v>
      </c>
      <c r="C60" s="17"/>
      <c r="D60" s="16" t="s">
        <v>253</v>
      </c>
      <c r="E60" s="14" t="s">
        <v>254</v>
      </c>
      <c r="F60" s="39" t="s">
        <v>8</v>
      </c>
      <c r="G60" s="15">
        <v>275973335000</v>
      </c>
      <c r="H60" s="15">
        <v>308490266081.79999</v>
      </c>
      <c r="I60" s="17">
        <v>55</v>
      </c>
      <c r="J60" s="14" t="s">
        <v>255</v>
      </c>
      <c r="K60" s="17" t="s">
        <v>8</v>
      </c>
      <c r="L60" s="18">
        <v>1</v>
      </c>
      <c r="M60" s="17"/>
      <c r="N60" s="17" t="s">
        <v>251</v>
      </c>
      <c r="O60" s="17" t="s">
        <v>35</v>
      </c>
      <c r="P60" s="17" t="s">
        <v>35</v>
      </c>
      <c r="Q60" s="17" t="s">
        <v>35</v>
      </c>
      <c r="R60" s="19" t="s">
        <v>256</v>
      </c>
      <c r="S60" s="20">
        <f t="shared" si="0"/>
        <v>0.89459333192322599</v>
      </c>
      <c r="T60" s="20">
        <f t="shared" si="1"/>
        <v>0.10540666807677401</v>
      </c>
      <c r="U60" s="21">
        <v>60.71</v>
      </c>
      <c r="V60" s="9"/>
      <c r="W60" s="9"/>
      <c r="X60" s="9"/>
      <c r="Y60" s="9"/>
      <c r="Z60" s="9"/>
      <c r="AA60" s="9"/>
    </row>
    <row r="61" spans="1:27" ht="14.25" customHeight="1">
      <c r="A61" s="33" t="s">
        <v>247</v>
      </c>
      <c r="B61" s="38">
        <v>57359114</v>
      </c>
      <c r="C61" s="17"/>
      <c r="D61" s="16" t="s">
        <v>257</v>
      </c>
      <c r="E61" s="14" t="s">
        <v>137</v>
      </c>
      <c r="F61" s="39" t="s">
        <v>8</v>
      </c>
      <c r="G61" s="15">
        <v>93109540040</v>
      </c>
      <c r="H61" s="15">
        <v>103695864474.92999</v>
      </c>
      <c r="I61" s="17">
        <v>55</v>
      </c>
      <c r="J61" s="14" t="s">
        <v>258</v>
      </c>
      <c r="K61" s="17" t="s">
        <v>8</v>
      </c>
      <c r="L61" s="18">
        <v>1</v>
      </c>
      <c r="M61" s="17"/>
      <c r="N61" s="17" t="s">
        <v>251</v>
      </c>
      <c r="O61" s="17" t="s">
        <v>35</v>
      </c>
      <c r="P61" s="17" t="s">
        <v>35</v>
      </c>
      <c r="Q61" s="17" t="s">
        <v>35</v>
      </c>
      <c r="R61" s="19" t="s">
        <v>259</v>
      </c>
      <c r="S61" s="20">
        <f t="shared" si="0"/>
        <v>0.89790986855132116</v>
      </c>
      <c r="T61" s="20">
        <f t="shared" si="1"/>
        <v>0.10209013144867884</v>
      </c>
      <c r="U61" s="21">
        <v>46.43</v>
      </c>
      <c r="V61" s="9"/>
      <c r="W61" s="9"/>
      <c r="X61" s="9"/>
      <c r="Y61" s="9"/>
      <c r="Z61" s="9"/>
      <c r="AA61" s="9"/>
    </row>
    <row r="62" spans="1:27" ht="14.25" customHeight="1">
      <c r="A62" s="33" t="s">
        <v>260</v>
      </c>
      <c r="B62" s="34">
        <v>88162114</v>
      </c>
      <c r="C62" s="34" t="s">
        <v>261</v>
      </c>
      <c r="D62" s="16" t="s">
        <v>262</v>
      </c>
      <c r="E62" s="35" t="s">
        <v>263</v>
      </c>
      <c r="F62" s="14" t="s">
        <v>0</v>
      </c>
      <c r="G62" s="40">
        <v>70600000000</v>
      </c>
      <c r="H62" s="41">
        <v>82037723424.009995</v>
      </c>
      <c r="I62" s="16"/>
      <c r="J62" s="35" t="s">
        <v>264</v>
      </c>
      <c r="K62" s="16"/>
      <c r="L62" s="34">
        <v>2</v>
      </c>
      <c r="M62" s="16"/>
      <c r="N62" s="42"/>
      <c r="O62" s="16"/>
      <c r="P62" s="16"/>
      <c r="Q62" s="16"/>
      <c r="R62" s="23"/>
      <c r="S62" s="20">
        <f t="shared" si="0"/>
        <v>0.86057970715625054</v>
      </c>
      <c r="T62" s="20">
        <f t="shared" si="1"/>
        <v>0.13942029284374946</v>
      </c>
      <c r="U62" s="28">
        <v>46</v>
      </c>
      <c r="V62" s="9"/>
      <c r="W62" s="9"/>
      <c r="X62" s="9"/>
      <c r="Y62" s="9"/>
      <c r="Z62" s="9"/>
      <c r="AA62" s="9"/>
    </row>
    <row r="63" spans="1:27" ht="14.25" customHeight="1">
      <c r="A63" s="33" t="s">
        <v>265</v>
      </c>
      <c r="B63" s="34">
        <v>90357114</v>
      </c>
      <c r="C63" s="16" t="s">
        <v>266</v>
      </c>
      <c r="D63" s="16" t="s">
        <v>267</v>
      </c>
      <c r="E63" s="35" t="s">
        <v>268</v>
      </c>
      <c r="F63" s="14" t="s">
        <v>0</v>
      </c>
      <c r="G63" s="40">
        <v>40539657000</v>
      </c>
      <c r="H63" s="40">
        <v>43660000000</v>
      </c>
      <c r="I63" s="16"/>
      <c r="J63" s="35" t="s">
        <v>269</v>
      </c>
      <c r="K63" s="16"/>
      <c r="L63" s="34">
        <v>1</v>
      </c>
      <c r="M63" s="16"/>
      <c r="N63" s="42"/>
      <c r="O63" s="16"/>
      <c r="P63" s="16"/>
      <c r="Q63" s="16"/>
      <c r="R63" s="23"/>
      <c r="S63" s="20">
        <f t="shared" si="0"/>
        <v>0.92853085203847918</v>
      </c>
      <c r="T63" s="20">
        <f t="shared" si="1"/>
        <v>7.1469147961520818E-2</v>
      </c>
      <c r="U63" s="28">
        <v>36</v>
      </c>
      <c r="V63" s="9"/>
      <c r="W63" s="9"/>
      <c r="X63" s="9"/>
      <c r="Y63" s="9"/>
      <c r="Z63" s="9"/>
      <c r="AA63" s="9"/>
    </row>
    <row r="64" spans="1:27" ht="14.25" customHeight="1">
      <c r="A64" s="33" t="s">
        <v>270</v>
      </c>
      <c r="B64" s="34">
        <v>91434114</v>
      </c>
      <c r="C64" s="16" t="s">
        <v>271</v>
      </c>
      <c r="D64" s="16" t="s">
        <v>272</v>
      </c>
      <c r="E64" s="35" t="s">
        <v>273</v>
      </c>
      <c r="F64" s="14" t="s">
        <v>0</v>
      </c>
      <c r="G64" s="40">
        <v>4780148148</v>
      </c>
      <c r="H64" s="40">
        <v>4772921000</v>
      </c>
      <c r="I64" s="16"/>
      <c r="J64" s="35" t="s">
        <v>274</v>
      </c>
      <c r="K64" s="16"/>
      <c r="L64" s="34">
        <v>1</v>
      </c>
      <c r="M64" s="16"/>
      <c r="N64" s="42"/>
      <c r="O64" s="16"/>
      <c r="P64" s="16"/>
      <c r="Q64" s="16"/>
      <c r="R64" s="23"/>
      <c r="S64" s="20">
        <f t="shared" si="0"/>
        <v>1.0015141981189297</v>
      </c>
      <c r="T64" s="20">
        <f t="shared" si="1"/>
        <v>-1.5141981189297216E-3</v>
      </c>
      <c r="U64" s="21">
        <v>42.86</v>
      </c>
      <c r="V64" s="9"/>
      <c r="W64" s="9"/>
      <c r="X64" s="9"/>
      <c r="Y64" s="9"/>
      <c r="Z64" s="9"/>
      <c r="AA64" s="9"/>
    </row>
    <row r="65" spans="1:27" ht="14.25" customHeight="1">
      <c r="A65" s="33" t="s">
        <v>275</v>
      </c>
      <c r="B65" s="34">
        <v>68297114</v>
      </c>
      <c r="C65" s="16" t="s">
        <v>276</v>
      </c>
      <c r="D65" s="16" t="s">
        <v>277</v>
      </c>
      <c r="E65" s="35" t="s">
        <v>278</v>
      </c>
      <c r="F65" s="14" t="s">
        <v>0</v>
      </c>
      <c r="G65" s="40">
        <v>2465010000</v>
      </c>
      <c r="H65" s="40">
        <v>2522286622</v>
      </c>
      <c r="I65" s="16"/>
      <c r="J65" s="35" t="s">
        <v>279</v>
      </c>
      <c r="K65" s="16"/>
      <c r="L65" s="34">
        <v>1</v>
      </c>
      <c r="M65" s="16"/>
      <c r="N65" s="42"/>
      <c r="O65" s="16"/>
      <c r="P65" s="16"/>
      <c r="Q65" s="16"/>
      <c r="R65" s="23"/>
      <c r="S65" s="20">
        <f t="shared" si="0"/>
        <v>0.97729178694426744</v>
      </c>
      <c r="T65" s="20">
        <f t="shared" si="1"/>
        <v>2.2708213055732562E-2</v>
      </c>
      <c r="U65" s="21">
        <v>21.43</v>
      </c>
      <c r="V65" s="9"/>
      <c r="W65" s="9"/>
      <c r="X65" s="9"/>
      <c r="Y65" s="9"/>
      <c r="Z65" s="9"/>
      <c r="AA65" s="9"/>
    </row>
    <row r="66" spans="1:27" ht="14.25" customHeight="1">
      <c r="A66" s="33" t="s">
        <v>280</v>
      </c>
      <c r="B66" s="34">
        <v>88544114</v>
      </c>
      <c r="C66" s="16" t="s">
        <v>281</v>
      </c>
      <c r="D66" s="16" t="s">
        <v>282</v>
      </c>
      <c r="E66" s="35" t="s">
        <v>283</v>
      </c>
      <c r="F66" s="14" t="s">
        <v>0</v>
      </c>
      <c r="G66" s="40">
        <v>84971193700</v>
      </c>
      <c r="H66" s="40">
        <v>95559680000</v>
      </c>
      <c r="I66" s="16"/>
      <c r="J66" s="35" t="s">
        <v>284</v>
      </c>
      <c r="K66" s="16"/>
      <c r="L66" s="34">
        <v>2</v>
      </c>
      <c r="M66" s="16"/>
      <c r="N66" s="42"/>
      <c r="O66" s="16"/>
      <c r="P66" s="16"/>
      <c r="Q66" s="16"/>
      <c r="R66" s="23"/>
      <c r="S66" s="20">
        <f t="shared" si="0"/>
        <v>0.88919504230236013</v>
      </c>
      <c r="T66" s="20">
        <f t="shared" si="1"/>
        <v>0.11080495769763987</v>
      </c>
      <c r="U66" s="28">
        <v>46</v>
      </c>
      <c r="V66" s="9"/>
      <c r="W66" s="9"/>
      <c r="X66" s="9"/>
      <c r="Y66" s="9"/>
      <c r="Z66" s="9"/>
      <c r="AA66" s="9"/>
    </row>
    <row r="67" spans="1:27" ht="14.25" customHeight="1">
      <c r="A67" s="33" t="s">
        <v>285</v>
      </c>
      <c r="B67" s="34">
        <v>90502114</v>
      </c>
      <c r="C67" s="16" t="s">
        <v>286</v>
      </c>
      <c r="D67" s="16" t="s">
        <v>287</v>
      </c>
      <c r="E67" s="35" t="s">
        <v>288</v>
      </c>
      <c r="F67" s="14" t="s">
        <v>0</v>
      </c>
      <c r="G67" s="40">
        <v>11894640000</v>
      </c>
      <c r="H67" s="40">
        <v>12068000000</v>
      </c>
      <c r="I67" s="16"/>
      <c r="J67" s="35" t="s">
        <v>289</v>
      </c>
      <c r="K67" s="16"/>
      <c r="L67" s="34">
        <v>1</v>
      </c>
      <c r="M67" s="16"/>
      <c r="N67" s="42"/>
      <c r="O67" s="16"/>
      <c r="P67" s="16"/>
      <c r="Q67" s="16"/>
      <c r="R67" s="23"/>
      <c r="S67" s="20">
        <f t="shared" si="0"/>
        <v>0.98563473649320521</v>
      </c>
      <c r="T67" s="20">
        <f t="shared" si="1"/>
        <v>1.436526350679479E-2</v>
      </c>
      <c r="U67" s="28">
        <v>43</v>
      </c>
      <c r="V67" s="9"/>
      <c r="W67" s="9"/>
      <c r="X67" s="9"/>
      <c r="Y67" s="9"/>
      <c r="Z67" s="9"/>
      <c r="AA67" s="9"/>
    </row>
    <row r="68" spans="1:27" ht="14.25" customHeight="1">
      <c r="A68" s="33" t="s">
        <v>290</v>
      </c>
      <c r="B68" s="34">
        <v>89160114</v>
      </c>
      <c r="C68" s="16" t="s">
        <v>291</v>
      </c>
      <c r="D68" s="16" t="s">
        <v>292</v>
      </c>
      <c r="E68" s="35" t="s">
        <v>293</v>
      </c>
      <c r="F68" s="14" t="s">
        <v>8</v>
      </c>
      <c r="G68" s="40">
        <v>20085694000</v>
      </c>
      <c r="H68" s="40">
        <v>22434544588.860001</v>
      </c>
      <c r="I68" s="16"/>
      <c r="J68" s="35" t="s">
        <v>294</v>
      </c>
      <c r="K68" s="16"/>
      <c r="L68" s="34">
        <v>2</v>
      </c>
      <c r="M68" s="16"/>
      <c r="N68" s="42"/>
      <c r="O68" s="16"/>
      <c r="P68" s="16"/>
      <c r="Q68" s="16"/>
      <c r="R68" s="23"/>
      <c r="S68" s="20">
        <f t="shared" si="0"/>
        <v>0.89530206064328421</v>
      </c>
      <c r="T68" s="20">
        <f t="shared" si="1"/>
        <v>0.10469793935671579</v>
      </c>
      <c r="U68" s="28">
        <v>39</v>
      </c>
      <c r="V68" s="9"/>
      <c r="W68" s="9"/>
      <c r="X68" s="9"/>
      <c r="Y68" s="9"/>
      <c r="Z68" s="9"/>
      <c r="AA68" s="9"/>
    </row>
    <row r="69" spans="1:27" ht="14.25" customHeight="1">
      <c r="A69" s="33" t="s">
        <v>290</v>
      </c>
      <c r="B69" s="34">
        <v>92536114</v>
      </c>
      <c r="C69" s="16" t="s">
        <v>291</v>
      </c>
      <c r="D69" s="16" t="s">
        <v>295</v>
      </c>
      <c r="E69" s="35" t="s">
        <v>296</v>
      </c>
      <c r="F69" s="14" t="s">
        <v>8</v>
      </c>
      <c r="G69" s="40">
        <v>11579095000</v>
      </c>
      <c r="H69" s="40">
        <v>12449426066.51</v>
      </c>
      <c r="I69" s="16"/>
      <c r="J69" s="35" t="s">
        <v>297</v>
      </c>
      <c r="K69" s="16"/>
      <c r="L69" s="34">
        <v>1</v>
      </c>
      <c r="M69" s="16"/>
      <c r="N69" s="42"/>
      <c r="O69" s="16"/>
      <c r="P69" s="16"/>
      <c r="Q69" s="16"/>
      <c r="R69" s="23"/>
      <c r="S69" s="20">
        <f t="shared" si="0"/>
        <v>0.93009066748456271</v>
      </c>
      <c r="T69" s="20">
        <f t="shared" si="1"/>
        <v>6.9909332515437295E-2</v>
      </c>
      <c r="U69" s="28">
        <v>43</v>
      </c>
      <c r="V69" s="9"/>
      <c r="W69" s="9"/>
      <c r="X69" s="9"/>
      <c r="Y69" s="9"/>
      <c r="Z69" s="9"/>
      <c r="AA69" s="9"/>
    </row>
    <row r="70" spans="1:27" ht="14.25" customHeight="1">
      <c r="A70" s="33" t="s">
        <v>298</v>
      </c>
      <c r="B70" s="34">
        <v>90377114</v>
      </c>
      <c r="C70" s="16" t="s">
        <v>299</v>
      </c>
      <c r="D70" s="16" t="s">
        <v>300</v>
      </c>
      <c r="E70" s="35" t="s">
        <v>301</v>
      </c>
      <c r="F70" s="14" t="s">
        <v>0</v>
      </c>
      <c r="G70" s="40">
        <v>57971000000</v>
      </c>
      <c r="H70" s="40">
        <v>63434000000</v>
      </c>
      <c r="I70" s="16"/>
      <c r="J70" s="35" t="s">
        <v>302</v>
      </c>
      <c r="K70" s="16"/>
      <c r="L70" s="34">
        <v>2</v>
      </c>
      <c r="M70" s="16"/>
      <c r="N70" s="42"/>
      <c r="O70" s="16"/>
      <c r="P70" s="16"/>
      <c r="Q70" s="16"/>
      <c r="R70" s="23"/>
      <c r="S70" s="20">
        <f t="shared" si="0"/>
        <v>0.91387899233849357</v>
      </c>
      <c r="T70" s="20">
        <f t="shared" si="1"/>
        <v>8.6121007661506432E-2</v>
      </c>
      <c r="U70" s="28">
        <v>39</v>
      </c>
      <c r="V70" s="9"/>
      <c r="W70" s="9"/>
      <c r="X70" s="9"/>
      <c r="Y70" s="9"/>
      <c r="Z70" s="9"/>
      <c r="AA70" s="9"/>
    </row>
    <row r="71" spans="1:27" ht="14.25" customHeight="1">
      <c r="A71" s="33" t="s">
        <v>298</v>
      </c>
      <c r="B71" s="34">
        <v>38069114</v>
      </c>
      <c r="C71" s="16" t="s">
        <v>299</v>
      </c>
      <c r="D71" s="16" t="s">
        <v>303</v>
      </c>
      <c r="E71" s="35" t="s">
        <v>304</v>
      </c>
      <c r="F71" s="14" t="s">
        <v>8</v>
      </c>
      <c r="G71" s="40">
        <v>4191015000</v>
      </c>
      <c r="H71" s="40">
        <v>4289792000</v>
      </c>
      <c r="I71" s="16"/>
      <c r="J71" s="35" t="s">
        <v>305</v>
      </c>
      <c r="K71" s="16"/>
      <c r="L71" s="34">
        <v>1</v>
      </c>
      <c r="M71" s="16"/>
      <c r="N71" s="42"/>
      <c r="O71" s="16"/>
      <c r="P71" s="16"/>
      <c r="Q71" s="16"/>
      <c r="R71" s="23"/>
      <c r="S71" s="20">
        <f t="shared" si="0"/>
        <v>0.97697394186011821</v>
      </c>
      <c r="T71" s="20">
        <f t="shared" si="1"/>
        <v>2.3026058139881789E-2</v>
      </c>
      <c r="U71" s="21">
        <v>39.29</v>
      </c>
      <c r="V71" s="9"/>
      <c r="W71" s="9"/>
      <c r="X71" s="9"/>
      <c r="Y71" s="9"/>
      <c r="Z71" s="9"/>
      <c r="AA71" s="9"/>
    </row>
    <row r="72" spans="1:27" ht="14.25" customHeight="1">
      <c r="A72" s="33" t="s">
        <v>298</v>
      </c>
      <c r="B72" s="34">
        <v>48031114</v>
      </c>
      <c r="C72" s="16" t="s">
        <v>299</v>
      </c>
      <c r="D72" s="16" t="s">
        <v>306</v>
      </c>
      <c r="E72" s="35" t="s">
        <v>307</v>
      </c>
      <c r="F72" s="14" t="s">
        <v>8</v>
      </c>
      <c r="G72" s="40">
        <v>2755340000</v>
      </c>
      <c r="H72" s="40">
        <v>2800530000</v>
      </c>
      <c r="I72" s="16"/>
      <c r="J72" s="35" t="s">
        <v>308</v>
      </c>
      <c r="K72" s="16"/>
      <c r="L72" s="34">
        <v>2</v>
      </c>
      <c r="M72" s="16"/>
      <c r="N72" s="42"/>
      <c r="O72" s="16"/>
      <c r="P72" s="16"/>
      <c r="Q72" s="16"/>
      <c r="R72" s="23"/>
      <c r="S72" s="20">
        <f t="shared" si="0"/>
        <v>0.98386376864379244</v>
      </c>
      <c r="T72" s="20">
        <f t="shared" si="1"/>
        <v>1.6136231356207564E-2</v>
      </c>
      <c r="U72" s="28">
        <v>57</v>
      </c>
      <c r="V72" s="9"/>
      <c r="W72" s="9"/>
      <c r="X72" s="9"/>
      <c r="Y72" s="9"/>
      <c r="Z72" s="9"/>
      <c r="AA72" s="9"/>
    </row>
    <row r="73" spans="1:27" ht="14.25" customHeight="1">
      <c r="A73" s="33" t="s">
        <v>298</v>
      </c>
      <c r="B73" s="34">
        <v>51472114</v>
      </c>
      <c r="C73" s="16" t="s">
        <v>299</v>
      </c>
      <c r="D73" s="16" t="s">
        <v>309</v>
      </c>
      <c r="E73" s="35" t="s">
        <v>310</v>
      </c>
      <c r="F73" s="14" t="s">
        <v>8</v>
      </c>
      <c r="G73" s="40">
        <v>1835000000</v>
      </c>
      <c r="H73" s="40">
        <v>1866277657.73</v>
      </c>
      <c r="I73" s="16"/>
      <c r="J73" s="43">
        <v>43542</v>
      </c>
      <c r="K73" s="16"/>
      <c r="L73" s="34">
        <v>1</v>
      </c>
      <c r="M73" s="16"/>
      <c r="N73" s="42"/>
      <c r="O73" s="16"/>
      <c r="P73" s="16"/>
      <c r="Q73" s="16"/>
      <c r="R73" s="23"/>
      <c r="S73" s="20">
        <f t="shared" si="0"/>
        <v>0.9832406193148967</v>
      </c>
      <c r="T73" s="20">
        <f t="shared" si="1"/>
        <v>1.6759380685103298E-2</v>
      </c>
      <c r="U73" s="21">
        <v>53.57</v>
      </c>
      <c r="V73" s="9"/>
      <c r="W73" s="9"/>
      <c r="X73" s="9"/>
      <c r="Y73" s="9"/>
      <c r="Z73" s="9"/>
      <c r="AA73" s="9"/>
    </row>
    <row r="74" spans="1:27" ht="14.25" customHeight="1">
      <c r="A74" s="33" t="s">
        <v>298</v>
      </c>
      <c r="B74" s="34">
        <v>86752114</v>
      </c>
      <c r="C74" s="16" t="s">
        <v>299</v>
      </c>
      <c r="D74" s="16" t="s">
        <v>311</v>
      </c>
      <c r="E74" s="35" t="s">
        <v>312</v>
      </c>
      <c r="F74" s="14" t="s">
        <v>8</v>
      </c>
      <c r="G74" s="40">
        <v>1870000000</v>
      </c>
      <c r="H74" s="40">
        <v>1830000000</v>
      </c>
      <c r="I74" s="16"/>
      <c r="J74" s="35" t="s">
        <v>313</v>
      </c>
      <c r="K74" s="16"/>
      <c r="L74" s="34">
        <v>1</v>
      </c>
      <c r="M74" s="16"/>
      <c r="N74" s="42"/>
      <c r="O74" s="16"/>
      <c r="P74" s="16"/>
      <c r="Q74" s="16"/>
      <c r="R74" s="23"/>
      <c r="S74" s="20">
        <f t="shared" si="0"/>
        <v>1.0218579234972678</v>
      </c>
      <c r="T74" s="20">
        <f t="shared" si="1"/>
        <v>-2.1857923497267784E-2</v>
      </c>
      <c r="U74" s="28">
        <v>39</v>
      </c>
      <c r="V74" s="9"/>
      <c r="W74" s="9"/>
      <c r="X74" s="9"/>
      <c r="Y74" s="9"/>
      <c r="Z74" s="9"/>
      <c r="AA74" s="9"/>
    </row>
    <row r="75" spans="1:27" ht="14.25" customHeight="1">
      <c r="A75" s="33" t="s">
        <v>298</v>
      </c>
      <c r="B75" s="34">
        <v>64300114</v>
      </c>
      <c r="C75" s="16" t="s">
        <v>299</v>
      </c>
      <c r="D75" s="16" t="s">
        <v>314</v>
      </c>
      <c r="E75" s="35" t="s">
        <v>315</v>
      </c>
      <c r="F75" s="14" t="s">
        <v>8</v>
      </c>
      <c r="G75" s="40">
        <v>700345500</v>
      </c>
      <c r="H75" s="40">
        <v>762961000</v>
      </c>
      <c r="I75" s="16"/>
      <c r="J75" s="43">
        <v>43901</v>
      </c>
      <c r="K75" s="16"/>
      <c r="L75" s="34">
        <v>1</v>
      </c>
      <c r="M75" s="16"/>
      <c r="N75" s="42"/>
      <c r="O75" s="16"/>
      <c r="P75" s="16"/>
      <c r="Q75" s="16"/>
      <c r="R75" s="23"/>
      <c r="S75" s="20">
        <f t="shared" si="0"/>
        <v>0.91793092962811995</v>
      </c>
      <c r="T75" s="20">
        <f t="shared" si="1"/>
        <v>8.2069070371880048E-2</v>
      </c>
      <c r="U75" s="21">
        <v>42.86</v>
      </c>
      <c r="V75" s="9"/>
      <c r="W75" s="9"/>
      <c r="X75" s="9"/>
      <c r="Y75" s="9"/>
      <c r="Z75" s="9"/>
      <c r="AA75" s="9"/>
    </row>
    <row r="76" spans="1:27" ht="14.25" customHeight="1">
      <c r="A76" s="33" t="s">
        <v>298</v>
      </c>
      <c r="B76" s="34">
        <v>64119114</v>
      </c>
      <c r="C76" s="16" t="s">
        <v>299</v>
      </c>
      <c r="D76" s="16" t="s">
        <v>316</v>
      </c>
      <c r="E76" s="35" t="s">
        <v>312</v>
      </c>
      <c r="F76" s="14" t="s">
        <v>8</v>
      </c>
      <c r="G76" s="40">
        <v>1395350000</v>
      </c>
      <c r="H76" s="40">
        <v>1488370708.6900001</v>
      </c>
      <c r="I76" s="16"/>
      <c r="J76" s="43">
        <v>43901</v>
      </c>
      <c r="K76" s="16"/>
      <c r="L76" s="34">
        <v>1</v>
      </c>
      <c r="M76" s="16"/>
      <c r="N76" s="42"/>
      <c r="O76" s="16"/>
      <c r="P76" s="16"/>
      <c r="Q76" s="16"/>
      <c r="R76" s="23"/>
      <c r="S76" s="20">
        <f t="shared" si="0"/>
        <v>0.93750165321926227</v>
      </c>
      <c r="T76" s="20">
        <f t="shared" si="1"/>
        <v>6.2498346780737735E-2</v>
      </c>
      <c r="U76" s="21">
        <v>35.71</v>
      </c>
      <c r="V76" s="9"/>
      <c r="W76" s="9"/>
      <c r="X76" s="9"/>
      <c r="Y76" s="9"/>
      <c r="Z76" s="9"/>
      <c r="AA76" s="9"/>
    </row>
    <row r="77" spans="1:27" ht="14.25" customHeight="1">
      <c r="A77" s="33" t="s">
        <v>298</v>
      </c>
      <c r="B77" s="34">
        <v>85817114</v>
      </c>
      <c r="C77" s="16" t="s">
        <v>299</v>
      </c>
      <c r="D77" s="16" t="s">
        <v>317</v>
      </c>
      <c r="E77" s="35" t="s">
        <v>301</v>
      </c>
      <c r="F77" s="14" t="s">
        <v>8</v>
      </c>
      <c r="G77" s="40">
        <v>34100000000</v>
      </c>
      <c r="H77" s="40">
        <v>38970384489.459999</v>
      </c>
      <c r="I77" s="16"/>
      <c r="J77" s="35" t="s">
        <v>318</v>
      </c>
      <c r="K77" s="16"/>
      <c r="L77" s="34">
        <v>1</v>
      </c>
      <c r="M77" s="16"/>
      <c r="N77" s="42"/>
      <c r="O77" s="16"/>
      <c r="P77" s="16"/>
      <c r="Q77" s="16"/>
      <c r="R77" s="23"/>
      <c r="S77" s="20">
        <f t="shared" si="0"/>
        <v>0.87502344271770649</v>
      </c>
      <c r="T77" s="20">
        <f t="shared" si="1"/>
        <v>0.12497655728229351</v>
      </c>
      <c r="U77" s="28">
        <v>54</v>
      </c>
      <c r="V77" s="9"/>
      <c r="W77" s="9"/>
      <c r="X77" s="9"/>
      <c r="Y77" s="9"/>
      <c r="Z77" s="9"/>
      <c r="AA77" s="9"/>
    </row>
    <row r="78" spans="1:27" ht="14.25" customHeight="1">
      <c r="A78" s="33" t="s">
        <v>319</v>
      </c>
      <c r="B78" s="16">
        <v>90439114</v>
      </c>
      <c r="C78" s="16" t="s">
        <v>320</v>
      </c>
      <c r="D78" s="16" t="s">
        <v>321</v>
      </c>
      <c r="E78" s="14" t="s">
        <v>322</v>
      </c>
      <c r="F78" s="14" t="s">
        <v>0</v>
      </c>
      <c r="G78" s="40">
        <v>48252997800</v>
      </c>
      <c r="H78" s="40">
        <v>48404019000</v>
      </c>
      <c r="I78" s="16">
        <v>16</v>
      </c>
      <c r="J78" s="14" t="s">
        <v>323</v>
      </c>
      <c r="K78" s="16" t="s">
        <v>8</v>
      </c>
      <c r="L78" s="34">
        <v>1</v>
      </c>
      <c r="M78" s="16"/>
      <c r="N78" s="42" t="s">
        <v>324</v>
      </c>
      <c r="O78" s="16"/>
      <c r="P78" s="16"/>
      <c r="Q78" s="16"/>
      <c r="R78" s="23"/>
      <c r="S78" s="20">
        <f t="shared" si="0"/>
        <v>0.99687998634989383</v>
      </c>
      <c r="T78" s="20">
        <f t="shared" si="1"/>
        <v>3.1200136501061682E-3</v>
      </c>
      <c r="U78" s="28">
        <v>46</v>
      </c>
      <c r="V78" s="9"/>
      <c r="W78" s="9"/>
      <c r="X78" s="9"/>
      <c r="Y78" s="9"/>
      <c r="Z78" s="9"/>
      <c r="AA78" s="9"/>
    </row>
    <row r="79" spans="1:27" ht="14.25" customHeight="1">
      <c r="A79" s="33" t="s">
        <v>319</v>
      </c>
      <c r="B79" s="44">
        <v>77418114</v>
      </c>
      <c r="C79" s="16" t="s">
        <v>320</v>
      </c>
      <c r="D79" s="13" t="s">
        <v>325</v>
      </c>
      <c r="E79" s="36" t="s">
        <v>326</v>
      </c>
      <c r="F79" s="39" t="s">
        <v>8</v>
      </c>
      <c r="G79" s="15">
        <v>1517952291</v>
      </c>
      <c r="H79" s="15">
        <v>1852935247.99</v>
      </c>
      <c r="I79" s="17"/>
      <c r="J79" s="36" t="s">
        <v>327</v>
      </c>
      <c r="K79" s="17" t="s">
        <v>35</v>
      </c>
      <c r="L79" s="18">
        <v>1</v>
      </c>
      <c r="M79" s="17" t="s">
        <v>35</v>
      </c>
      <c r="N79" s="42"/>
      <c r="O79" s="17" t="s">
        <v>35</v>
      </c>
      <c r="P79" s="17" t="s">
        <v>35</v>
      </c>
      <c r="Q79" s="17" t="s">
        <v>35</v>
      </c>
      <c r="R79" s="23"/>
      <c r="S79" s="20">
        <f t="shared" si="0"/>
        <v>0.81921496860002097</v>
      </c>
      <c r="T79" s="20">
        <f t="shared" si="1"/>
        <v>0.18078503139997903</v>
      </c>
      <c r="U79" s="21">
        <v>46.43</v>
      </c>
      <c r="V79" s="9"/>
      <c r="W79" s="9"/>
      <c r="X79" s="9"/>
      <c r="Y79" s="9"/>
      <c r="Z79" s="9"/>
      <c r="AA79" s="9"/>
    </row>
    <row r="80" spans="1:27" ht="14.25" customHeight="1">
      <c r="A80" s="33" t="s">
        <v>319</v>
      </c>
      <c r="B80" s="44">
        <v>70329114</v>
      </c>
      <c r="C80" s="16" t="s">
        <v>320</v>
      </c>
      <c r="D80" s="13" t="s">
        <v>328</v>
      </c>
      <c r="E80" s="36" t="s">
        <v>329</v>
      </c>
      <c r="F80" s="39" t="s">
        <v>8</v>
      </c>
      <c r="G80" s="15">
        <v>50010000000</v>
      </c>
      <c r="H80" s="15">
        <v>53804492733.110001</v>
      </c>
      <c r="I80" s="17"/>
      <c r="J80" s="36" t="s">
        <v>330</v>
      </c>
      <c r="K80" s="17" t="s">
        <v>35</v>
      </c>
      <c r="L80" s="18">
        <v>1</v>
      </c>
      <c r="M80" s="17" t="s">
        <v>35</v>
      </c>
      <c r="N80" s="42"/>
      <c r="O80" s="17" t="s">
        <v>35</v>
      </c>
      <c r="P80" s="17" t="s">
        <v>35</v>
      </c>
      <c r="Q80" s="17" t="s">
        <v>35</v>
      </c>
      <c r="R80" s="23"/>
      <c r="S80" s="20">
        <f t="shared" si="0"/>
        <v>0.92947628459333176</v>
      </c>
      <c r="T80" s="20">
        <f t="shared" si="1"/>
        <v>7.0523715406668241E-2</v>
      </c>
      <c r="U80" s="21">
        <v>57.14</v>
      </c>
      <c r="V80" s="9"/>
      <c r="W80" s="9"/>
      <c r="X80" s="9"/>
      <c r="Y80" s="9"/>
      <c r="Z80" s="9"/>
      <c r="AA80" s="9"/>
    </row>
    <row r="81" spans="1:27" ht="14.25" customHeight="1">
      <c r="A81" s="33" t="s">
        <v>319</v>
      </c>
      <c r="B81" s="44">
        <v>60885114</v>
      </c>
      <c r="C81" s="16" t="s">
        <v>320</v>
      </c>
      <c r="D81" s="13" t="s">
        <v>331</v>
      </c>
      <c r="E81" s="36" t="s">
        <v>332</v>
      </c>
      <c r="F81" s="39" t="s">
        <v>8</v>
      </c>
      <c r="G81" s="15">
        <v>19050000000</v>
      </c>
      <c r="H81" s="15">
        <v>19851492081.389999</v>
      </c>
      <c r="I81" s="17"/>
      <c r="J81" s="36" t="s">
        <v>333</v>
      </c>
      <c r="K81" s="17" t="s">
        <v>35</v>
      </c>
      <c r="L81" s="18">
        <v>1</v>
      </c>
      <c r="M81" s="17" t="s">
        <v>35</v>
      </c>
      <c r="N81" s="42"/>
      <c r="O81" s="17" t="s">
        <v>35</v>
      </c>
      <c r="P81" s="17" t="s">
        <v>35</v>
      </c>
      <c r="Q81" s="17" t="s">
        <v>35</v>
      </c>
      <c r="R81" s="23"/>
      <c r="S81" s="20">
        <f t="shared" si="0"/>
        <v>0.95962560002523101</v>
      </c>
      <c r="T81" s="20">
        <f t="shared" si="1"/>
        <v>4.0374399974768993E-2</v>
      </c>
      <c r="U81" s="28">
        <v>50</v>
      </c>
      <c r="V81" s="9"/>
      <c r="W81" s="9"/>
      <c r="X81" s="9"/>
      <c r="Y81" s="9"/>
      <c r="Z81" s="9"/>
      <c r="AA81" s="9"/>
    </row>
    <row r="82" spans="1:27" ht="14.25" customHeight="1">
      <c r="A82" s="29" t="s">
        <v>334</v>
      </c>
      <c r="B82" s="16">
        <v>90543114</v>
      </c>
      <c r="C82" s="19" t="s">
        <v>335</v>
      </c>
      <c r="D82" s="19" t="s">
        <v>336</v>
      </c>
      <c r="E82" s="22" t="s">
        <v>337</v>
      </c>
      <c r="F82" s="14" t="s">
        <v>0</v>
      </c>
      <c r="G82" s="40">
        <v>21840000008</v>
      </c>
      <c r="H82" s="40">
        <v>23743000000</v>
      </c>
      <c r="I82" s="23">
        <v>56</v>
      </c>
      <c r="J82" s="45" t="s">
        <v>338</v>
      </c>
      <c r="K82" s="23" t="s">
        <v>8</v>
      </c>
      <c r="L82" s="18">
        <v>1</v>
      </c>
      <c r="M82" s="23"/>
      <c r="N82" s="46" t="s">
        <v>339</v>
      </c>
      <c r="O82" s="23"/>
      <c r="P82" s="23"/>
      <c r="Q82" s="23"/>
      <c r="R82" s="23"/>
      <c r="S82" s="20">
        <f t="shared" si="0"/>
        <v>0.91985006140757275</v>
      </c>
      <c r="T82" s="20">
        <f t="shared" si="1"/>
        <v>8.014993859242725E-2</v>
      </c>
      <c r="U82" s="28">
        <v>50</v>
      </c>
      <c r="V82" s="9"/>
      <c r="W82" s="9"/>
      <c r="X82" s="9"/>
      <c r="Y82" s="9"/>
      <c r="Z82" s="9"/>
      <c r="AA82" s="9"/>
    </row>
    <row r="83" spans="1:27" ht="14.25" customHeight="1">
      <c r="A83" s="29" t="s">
        <v>334</v>
      </c>
      <c r="B83" s="16">
        <v>90090114</v>
      </c>
      <c r="C83" s="19" t="s">
        <v>335</v>
      </c>
      <c r="D83" s="19" t="s">
        <v>340</v>
      </c>
      <c r="E83" s="22" t="s">
        <v>341</v>
      </c>
      <c r="F83" s="14" t="s">
        <v>0</v>
      </c>
      <c r="G83" s="40">
        <v>31797643518</v>
      </c>
      <c r="H83" s="40">
        <v>34191000000</v>
      </c>
      <c r="I83" s="23">
        <v>20</v>
      </c>
      <c r="J83" s="14" t="s">
        <v>323</v>
      </c>
      <c r="K83" s="23" t="s">
        <v>8</v>
      </c>
      <c r="L83" s="18">
        <v>1</v>
      </c>
      <c r="M83" s="23"/>
      <c r="N83" s="46" t="s">
        <v>342</v>
      </c>
      <c r="O83" s="23"/>
      <c r="P83" s="23"/>
      <c r="Q83" s="23"/>
      <c r="R83" s="23"/>
      <c r="S83" s="20">
        <f t="shared" si="0"/>
        <v>0.93000039536720192</v>
      </c>
      <c r="T83" s="20">
        <f t="shared" si="1"/>
        <v>6.9999604632798085E-2</v>
      </c>
      <c r="U83" s="28">
        <v>32</v>
      </c>
      <c r="V83" s="9"/>
      <c r="W83" s="9"/>
      <c r="X83" s="9"/>
      <c r="Y83" s="9"/>
      <c r="Z83" s="9"/>
      <c r="AA83" s="9"/>
    </row>
    <row r="84" spans="1:27" ht="14.25" customHeight="1">
      <c r="A84" s="29" t="s">
        <v>343</v>
      </c>
      <c r="B84" s="16">
        <v>90889114</v>
      </c>
      <c r="C84" s="19" t="s">
        <v>344</v>
      </c>
      <c r="D84" s="19" t="s">
        <v>345</v>
      </c>
      <c r="E84" s="22" t="s">
        <v>304</v>
      </c>
      <c r="F84" s="14" t="s">
        <v>0</v>
      </c>
      <c r="G84" s="40">
        <v>71341710000</v>
      </c>
      <c r="H84" s="40">
        <v>70685000000</v>
      </c>
      <c r="I84" s="23">
        <v>10</v>
      </c>
      <c r="J84" s="45" t="s">
        <v>346</v>
      </c>
      <c r="K84" s="23" t="s">
        <v>8</v>
      </c>
      <c r="L84" s="18">
        <v>1</v>
      </c>
      <c r="M84" s="23"/>
      <c r="N84" s="46" t="s">
        <v>347</v>
      </c>
      <c r="O84" s="23"/>
      <c r="P84" s="23"/>
      <c r="Q84" s="23"/>
      <c r="R84" s="23"/>
      <c r="S84" s="20">
        <f t="shared" si="0"/>
        <v>1.0092906557261088</v>
      </c>
      <c r="T84" s="20">
        <f t="shared" si="1"/>
        <v>-9.2906557261087652E-3</v>
      </c>
      <c r="U84" s="28">
        <v>46</v>
      </c>
      <c r="V84" s="9"/>
      <c r="W84" s="9"/>
      <c r="X84" s="9"/>
      <c r="Y84" s="9"/>
      <c r="Z84" s="9"/>
      <c r="AA84" s="9"/>
    </row>
    <row r="85" spans="1:27" ht="14.25" customHeight="1">
      <c r="A85" s="29" t="s">
        <v>348</v>
      </c>
      <c r="B85" s="44">
        <v>70427114</v>
      </c>
      <c r="C85" s="13" t="s">
        <v>349</v>
      </c>
      <c r="D85" s="19" t="s">
        <v>350</v>
      </c>
      <c r="E85" s="22" t="s">
        <v>351</v>
      </c>
      <c r="F85" s="14" t="s">
        <v>0</v>
      </c>
      <c r="G85" s="15">
        <v>376000000000</v>
      </c>
      <c r="H85" s="15">
        <v>398831000000</v>
      </c>
      <c r="I85" s="23">
        <v>76</v>
      </c>
      <c r="J85" s="45" t="s">
        <v>352</v>
      </c>
      <c r="K85" s="23" t="s">
        <v>8</v>
      </c>
      <c r="L85" s="18">
        <v>3</v>
      </c>
      <c r="M85" s="23"/>
      <c r="N85" s="46" t="s">
        <v>8</v>
      </c>
      <c r="O85" s="23"/>
      <c r="P85" s="23"/>
      <c r="Q85" s="23"/>
      <c r="R85" s="23"/>
      <c r="S85" s="20">
        <f t="shared" si="0"/>
        <v>0.94275520207807317</v>
      </c>
      <c r="T85" s="20">
        <f t="shared" si="1"/>
        <v>5.7244797921926827E-2</v>
      </c>
      <c r="U85" s="21">
        <v>39.29</v>
      </c>
      <c r="V85" s="9"/>
      <c r="W85" s="9"/>
      <c r="X85" s="9"/>
      <c r="Y85" s="9"/>
      <c r="Z85" s="9"/>
      <c r="AA85" s="9"/>
    </row>
    <row r="86" spans="1:27" ht="14.25" customHeight="1">
      <c r="A86" s="10" t="s">
        <v>353</v>
      </c>
      <c r="B86" s="44">
        <v>90914114</v>
      </c>
      <c r="C86" s="13" t="s">
        <v>354</v>
      </c>
      <c r="D86" s="47" t="s">
        <v>355</v>
      </c>
      <c r="E86" s="22" t="s">
        <v>356</v>
      </c>
      <c r="F86" s="14" t="s">
        <v>0</v>
      </c>
      <c r="G86" s="15">
        <v>13022521000</v>
      </c>
      <c r="H86" s="40">
        <v>17559926000</v>
      </c>
      <c r="I86" s="23">
        <v>19</v>
      </c>
      <c r="J86" s="45" t="s">
        <v>357</v>
      </c>
      <c r="K86" s="23" t="s">
        <v>8</v>
      </c>
      <c r="L86" s="18">
        <v>1</v>
      </c>
      <c r="M86" s="23"/>
      <c r="N86" s="46" t="s">
        <v>8</v>
      </c>
      <c r="O86" s="23"/>
      <c r="P86" s="23"/>
      <c r="Q86" s="23"/>
      <c r="R86" s="23"/>
      <c r="S86" s="20">
        <f t="shared" si="0"/>
        <v>0.74160454890299654</v>
      </c>
      <c r="T86" s="20">
        <f t="shared" si="1"/>
        <v>0.25839545109700346</v>
      </c>
      <c r="U86" s="28">
        <v>46</v>
      </c>
      <c r="V86" s="9"/>
      <c r="W86" s="9"/>
      <c r="X86" s="9"/>
      <c r="Y86" s="9"/>
      <c r="Z86" s="9"/>
      <c r="AA86" s="9"/>
    </row>
    <row r="87" spans="1:27" ht="14.25" customHeight="1">
      <c r="A87" s="10" t="s">
        <v>353</v>
      </c>
      <c r="B87" s="44">
        <v>90912114</v>
      </c>
      <c r="C87" s="13" t="s">
        <v>354</v>
      </c>
      <c r="D87" s="13" t="s">
        <v>358</v>
      </c>
      <c r="E87" s="22" t="s">
        <v>359</v>
      </c>
      <c r="F87" s="14" t="s">
        <v>0</v>
      </c>
      <c r="G87" s="15">
        <v>9086520000</v>
      </c>
      <c r="H87" s="40">
        <v>9880578000</v>
      </c>
      <c r="I87" s="23">
        <v>16</v>
      </c>
      <c r="J87" s="45" t="s">
        <v>360</v>
      </c>
      <c r="K87" s="23" t="s">
        <v>8</v>
      </c>
      <c r="L87" s="18">
        <v>1</v>
      </c>
      <c r="M87" s="23"/>
      <c r="N87" s="46" t="s">
        <v>8</v>
      </c>
      <c r="O87" s="23"/>
      <c r="P87" s="23"/>
      <c r="Q87" s="23"/>
      <c r="R87" s="23"/>
      <c r="S87" s="20">
        <f t="shared" si="0"/>
        <v>0.91963445863187354</v>
      </c>
      <c r="T87" s="20">
        <f t="shared" si="1"/>
        <v>8.0365541368126459E-2</v>
      </c>
      <c r="U87" s="28">
        <v>39</v>
      </c>
      <c r="V87" s="9"/>
      <c r="W87" s="9"/>
      <c r="X87" s="9"/>
      <c r="Y87" s="9"/>
      <c r="Z87" s="9"/>
      <c r="AA87" s="9"/>
    </row>
    <row r="88" spans="1:27" ht="14.25" customHeight="1">
      <c r="A88" s="10" t="s">
        <v>361</v>
      </c>
      <c r="B88" s="44">
        <v>88421114</v>
      </c>
      <c r="C88" s="13" t="s">
        <v>362</v>
      </c>
      <c r="D88" s="13" t="s">
        <v>363</v>
      </c>
      <c r="E88" s="22" t="s">
        <v>364</v>
      </c>
      <c r="F88" s="14" t="s">
        <v>0</v>
      </c>
      <c r="G88" s="15">
        <v>2685343000</v>
      </c>
      <c r="H88" s="40">
        <v>2918658000</v>
      </c>
      <c r="I88" s="23">
        <v>55</v>
      </c>
      <c r="J88" s="45" t="s">
        <v>365</v>
      </c>
      <c r="K88" s="23" t="s">
        <v>0</v>
      </c>
      <c r="L88" s="18">
        <v>1</v>
      </c>
      <c r="M88" s="23"/>
      <c r="N88" s="46" t="s">
        <v>8</v>
      </c>
      <c r="O88" s="23"/>
      <c r="P88" s="23"/>
      <c r="Q88" s="23"/>
      <c r="R88" s="23"/>
      <c r="S88" s="20">
        <f t="shared" si="0"/>
        <v>0.92006086358867667</v>
      </c>
      <c r="T88" s="20">
        <f t="shared" si="1"/>
        <v>7.993913641132333E-2</v>
      </c>
      <c r="U88" s="28">
        <v>57</v>
      </c>
      <c r="V88" s="9"/>
      <c r="W88" s="9"/>
      <c r="X88" s="9"/>
      <c r="Y88" s="9"/>
      <c r="Z88" s="9"/>
      <c r="AA88" s="9"/>
    </row>
    <row r="89" spans="1:27" ht="14.25" customHeight="1">
      <c r="A89" s="48" t="s">
        <v>361</v>
      </c>
      <c r="B89" s="49">
        <v>92147114</v>
      </c>
      <c r="C89" s="50" t="s">
        <v>362</v>
      </c>
      <c r="D89" s="50" t="s">
        <v>366</v>
      </c>
      <c r="E89" s="22" t="s">
        <v>367</v>
      </c>
      <c r="F89" s="14" t="s">
        <v>0</v>
      </c>
      <c r="G89" s="51">
        <v>49013028000</v>
      </c>
      <c r="H89" s="52">
        <v>61266285000</v>
      </c>
      <c r="I89" s="53">
        <v>18</v>
      </c>
      <c r="J89" s="45" t="s">
        <v>368</v>
      </c>
      <c r="K89" s="53" t="s">
        <v>0</v>
      </c>
      <c r="L89" s="54">
        <v>1</v>
      </c>
      <c r="M89" s="53"/>
      <c r="N89" s="55" t="s">
        <v>8</v>
      </c>
      <c r="O89" s="53"/>
      <c r="P89" s="53"/>
      <c r="Q89" s="53"/>
      <c r="R89" s="23"/>
      <c r="S89" s="20">
        <f t="shared" si="0"/>
        <v>0.8</v>
      </c>
      <c r="T89" s="20">
        <f t="shared" si="1"/>
        <v>0.19999999999999996</v>
      </c>
      <c r="U89" s="28">
        <v>57</v>
      </c>
      <c r="V89" s="9"/>
      <c r="W89" s="9"/>
      <c r="X89" s="9"/>
      <c r="Y89" s="9"/>
      <c r="Z89" s="9"/>
      <c r="AA89" s="9"/>
    </row>
    <row r="90" spans="1:27" ht="14.25" customHeight="1">
      <c r="A90" s="10" t="s">
        <v>369</v>
      </c>
      <c r="B90" s="44">
        <v>85683114</v>
      </c>
      <c r="C90" s="13" t="s">
        <v>370</v>
      </c>
      <c r="D90" s="13" t="s">
        <v>371</v>
      </c>
      <c r="E90" s="22" t="s">
        <v>372</v>
      </c>
      <c r="F90" s="14" t="s">
        <v>0</v>
      </c>
      <c r="G90" s="15">
        <v>2077630672</v>
      </c>
      <c r="H90" s="40">
        <v>2347410893</v>
      </c>
      <c r="I90" s="23">
        <v>19</v>
      </c>
      <c r="J90" s="56" t="s">
        <v>373</v>
      </c>
      <c r="K90" s="23" t="s">
        <v>8</v>
      </c>
      <c r="L90" s="18">
        <v>1</v>
      </c>
      <c r="M90" s="23"/>
      <c r="N90" s="46" t="s">
        <v>8</v>
      </c>
      <c r="O90" s="23"/>
      <c r="P90" s="23"/>
      <c r="Q90" s="23"/>
      <c r="R90" s="23"/>
      <c r="S90" s="20">
        <f t="shared" si="0"/>
        <v>0.88507328571896504</v>
      </c>
      <c r="T90" s="20">
        <f t="shared" si="1"/>
        <v>0.11492671428103496</v>
      </c>
      <c r="U90" s="28">
        <v>46</v>
      </c>
      <c r="V90" s="9"/>
      <c r="W90" s="9"/>
      <c r="X90" s="9"/>
      <c r="Y90" s="9"/>
      <c r="Z90" s="9"/>
      <c r="AA90" s="9"/>
    </row>
    <row r="91" spans="1:27" ht="14.25" customHeight="1">
      <c r="A91" s="10" t="s">
        <v>369</v>
      </c>
      <c r="B91" s="44">
        <v>74680114</v>
      </c>
      <c r="C91" s="13" t="s">
        <v>370</v>
      </c>
      <c r="D91" s="13" t="s">
        <v>374</v>
      </c>
      <c r="E91" s="22" t="s">
        <v>372</v>
      </c>
      <c r="F91" s="14" t="s">
        <v>0</v>
      </c>
      <c r="G91" s="15">
        <v>382453582</v>
      </c>
      <c r="H91" s="40">
        <v>478066978.07999998</v>
      </c>
      <c r="I91" s="23">
        <v>31</v>
      </c>
      <c r="J91" s="56" t="s">
        <v>375</v>
      </c>
      <c r="K91" s="23" t="s">
        <v>8</v>
      </c>
      <c r="L91" s="18">
        <v>1</v>
      </c>
      <c r="M91" s="23"/>
      <c r="N91" s="46" t="s">
        <v>8</v>
      </c>
      <c r="O91" s="23"/>
      <c r="P91" s="23"/>
      <c r="Q91" s="23"/>
      <c r="R91" s="23"/>
      <c r="S91" s="20">
        <f t="shared" si="0"/>
        <v>0.79999999902942476</v>
      </c>
      <c r="T91" s="20">
        <f t="shared" si="1"/>
        <v>0.20000000097057524</v>
      </c>
      <c r="U91" s="21">
        <v>46.43</v>
      </c>
      <c r="V91" s="9"/>
      <c r="W91" s="9"/>
      <c r="X91" s="9"/>
      <c r="Y91" s="9"/>
      <c r="Z91" s="9"/>
      <c r="AA91" s="9"/>
    </row>
    <row r="92" spans="1:27" ht="14.25" customHeight="1">
      <c r="A92" s="10" t="s">
        <v>369</v>
      </c>
      <c r="B92" s="44">
        <v>90605114</v>
      </c>
      <c r="C92" s="13" t="s">
        <v>370</v>
      </c>
      <c r="D92" s="13" t="s">
        <v>376</v>
      </c>
      <c r="E92" s="22" t="s">
        <v>377</v>
      </c>
      <c r="F92" s="14" t="s">
        <v>0</v>
      </c>
      <c r="G92" s="15">
        <v>64064958000</v>
      </c>
      <c r="H92" s="40">
        <v>65711641459</v>
      </c>
      <c r="I92" s="23">
        <v>24</v>
      </c>
      <c r="J92" s="45" t="s">
        <v>378</v>
      </c>
      <c r="K92" s="23" t="s">
        <v>0</v>
      </c>
      <c r="L92" s="18">
        <v>1</v>
      </c>
      <c r="M92" s="23"/>
      <c r="N92" s="46" t="s">
        <v>379</v>
      </c>
      <c r="O92" s="23"/>
      <c r="P92" s="23"/>
      <c r="Q92" s="23"/>
      <c r="R92" s="23"/>
      <c r="S92" s="20">
        <f t="shared" si="0"/>
        <v>0.97494076509978178</v>
      </c>
      <c r="T92" s="20">
        <f t="shared" si="1"/>
        <v>2.5059234900218219E-2</v>
      </c>
      <c r="U92" s="28">
        <v>54</v>
      </c>
      <c r="V92" s="9"/>
      <c r="W92" s="9"/>
      <c r="X92" s="9"/>
      <c r="Y92" s="9"/>
      <c r="Z92" s="9"/>
      <c r="AA92" s="9"/>
    </row>
    <row r="93" spans="1:27" ht="14.25" customHeight="1">
      <c r="A93" s="10" t="s">
        <v>369</v>
      </c>
      <c r="B93" s="44">
        <v>90197114</v>
      </c>
      <c r="C93" s="13" t="s">
        <v>370</v>
      </c>
      <c r="D93" s="13" t="s">
        <v>380</v>
      </c>
      <c r="E93" s="22" t="s">
        <v>377</v>
      </c>
      <c r="F93" s="14" t="s">
        <v>0</v>
      </c>
      <c r="G93" s="15">
        <v>55044889000</v>
      </c>
      <c r="H93" s="40">
        <v>58633244000</v>
      </c>
      <c r="I93" s="23">
        <v>17</v>
      </c>
      <c r="J93" s="45" t="s">
        <v>378</v>
      </c>
      <c r="K93" s="23" t="s">
        <v>8</v>
      </c>
      <c r="L93" s="18">
        <v>1</v>
      </c>
      <c r="M93" s="23"/>
      <c r="N93" s="46" t="s">
        <v>8</v>
      </c>
      <c r="O93" s="23"/>
      <c r="P93" s="23"/>
      <c r="Q93" s="23"/>
      <c r="R93" s="23"/>
      <c r="S93" s="20">
        <f t="shared" si="0"/>
        <v>0.93879999203182418</v>
      </c>
      <c r="T93" s="20">
        <f t="shared" si="1"/>
        <v>6.1200007968175818E-2</v>
      </c>
      <c r="U93" s="28">
        <v>50</v>
      </c>
      <c r="V93" s="9"/>
      <c r="W93" s="9"/>
      <c r="X93" s="9"/>
      <c r="Y93" s="9"/>
      <c r="Z93" s="9"/>
      <c r="AA93" s="9"/>
    </row>
    <row r="94" spans="1:27" ht="14.25" customHeight="1">
      <c r="A94" s="10" t="s">
        <v>369</v>
      </c>
      <c r="B94" s="44">
        <v>54487114</v>
      </c>
      <c r="C94" s="13" t="s">
        <v>370</v>
      </c>
      <c r="D94" s="13" t="s">
        <v>381</v>
      </c>
      <c r="E94" s="22" t="s">
        <v>382</v>
      </c>
      <c r="F94" s="14" t="s">
        <v>8</v>
      </c>
      <c r="G94" s="15">
        <v>884990000</v>
      </c>
      <c r="H94" s="40">
        <v>931254181.82000005</v>
      </c>
      <c r="I94" s="23">
        <v>12</v>
      </c>
      <c r="J94" s="45" t="s">
        <v>383</v>
      </c>
      <c r="K94" s="23" t="s">
        <v>8</v>
      </c>
      <c r="L94" s="18">
        <v>1</v>
      </c>
      <c r="M94" s="23"/>
      <c r="N94" s="46" t="s">
        <v>8</v>
      </c>
      <c r="O94" s="23"/>
      <c r="P94" s="23"/>
      <c r="Q94" s="23"/>
      <c r="R94" s="23"/>
      <c r="S94" s="20">
        <f t="shared" si="0"/>
        <v>0.95032056475753646</v>
      </c>
      <c r="T94" s="20">
        <f t="shared" si="1"/>
        <v>4.9679435242463543E-2</v>
      </c>
      <c r="U94" s="21">
        <v>28.57</v>
      </c>
      <c r="V94" s="9"/>
      <c r="W94" s="9"/>
      <c r="X94" s="9"/>
      <c r="Y94" s="9"/>
      <c r="Z94" s="9"/>
      <c r="AA94" s="9"/>
    </row>
    <row r="95" spans="1:27" ht="14.25" customHeight="1">
      <c r="A95" s="10" t="s">
        <v>384</v>
      </c>
      <c r="B95" s="44">
        <v>63561114</v>
      </c>
      <c r="C95" s="13" t="s">
        <v>385</v>
      </c>
      <c r="D95" s="13" t="s">
        <v>386</v>
      </c>
      <c r="E95" s="22" t="s">
        <v>387</v>
      </c>
      <c r="F95" s="14" t="s">
        <v>0</v>
      </c>
      <c r="G95" s="15">
        <v>7942376000</v>
      </c>
      <c r="H95" s="40">
        <v>7938754000</v>
      </c>
      <c r="I95" s="23">
        <v>20</v>
      </c>
      <c r="J95" s="45" t="s">
        <v>388</v>
      </c>
      <c r="K95" s="23" t="s">
        <v>8</v>
      </c>
      <c r="L95" s="18">
        <v>1</v>
      </c>
      <c r="M95" s="23"/>
      <c r="N95" s="46" t="s">
        <v>8</v>
      </c>
      <c r="O95" s="23"/>
      <c r="P95" s="23"/>
      <c r="Q95" s="23"/>
      <c r="R95" s="23"/>
      <c r="S95" s="20">
        <f t="shared" si="0"/>
        <v>1.0004562428814396</v>
      </c>
      <c r="T95" s="20">
        <f t="shared" si="1"/>
        <v>-4.5624288143963909E-4</v>
      </c>
      <c r="U95" s="21">
        <v>39.29</v>
      </c>
      <c r="V95" s="9"/>
      <c r="W95" s="9"/>
      <c r="X95" s="9"/>
      <c r="Y95" s="9"/>
      <c r="Z95" s="9"/>
      <c r="AA95" s="9"/>
    </row>
    <row r="96" spans="1:27" ht="14.25" customHeight="1">
      <c r="A96" s="10" t="s">
        <v>384</v>
      </c>
      <c r="B96" s="44">
        <v>90359114</v>
      </c>
      <c r="C96" s="13" t="s">
        <v>385</v>
      </c>
      <c r="D96" s="57" t="s">
        <v>389</v>
      </c>
      <c r="E96" s="22" t="s">
        <v>390</v>
      </c>
      <c r="F96" s="14" t="s">
        <v>0</v>
      </c>
      <c r="G96" s="15">
        <v>31961356263</v>
      </c>
      <c r="H96" s="40">
        <v>34359195000</v>
      </c>
      <c r="I96" s="23">
        <v>19</v>
      </c>
      <c r="J96" s="45" t="s">
        <v>323</v>
      </c>
      <c r="K96" s="23" t="s">
        <v>8</v>
      </c>
      <c r="L96" s="18">
        <v>1</v>
      </c>
      <c r="M96" s="23"/>
      <c r="N96" s="46" t="s">
        <v>391</v>
      </c>
      <c r="O96" s="23"/>
      <c r="P96" s="23"/>
      <c r="Q96" s="23"/>
      <c r="R96" s="23"/>
      <c r="S96" s="20">
        <f t="shared" si="0"/>
        <v>0.93021260431159691</v>
      </c>
      <c r="T96" s="20">
        <f t="shared" si="1"/>
        <v>6.9787395688403087E-2</v>
      </c>
      <c r="U96" s="28">
        <v>43</v>
      </c>
      <c r="V96" s="9"/>
      <c r="W96" s="9"/>
      <c r="X96" s="9"/>
      <c r="Y96" s="9"/>
      <c r="Z96" s="9"/>
      <c r="AA96" s="9"/>
    </row>
    <row r="97" spans="1:27" ht="14.25" customHeight="1">
      <c r="A97" s="10" t="s">
        <v>384</v>
      </c>
      <c r="B97" s="44">
        <v>35434114</v>
      </c>
      <c r="C97" s="13" t="s">
        <v>385</v>
      </c>
      <c r="D97" s="13" t="s">
        <v>392</v>
      </c>
      <c r="E97" s="45" t="s">
        <v>393</v>
      </c>
      <c r="F97" s="39" t="s">
        <v>8</v>
      </c>
      <c r="G97" s="15">
        <v>9955000000</v>
      </c>
      <c r="H97" s="15">
        <v>10295500000</v>
      </c>
      <c r="I97" s="23">
        <v>15</v>
      </c>
      <c r="J97" s="45" t="s">
        <v>394</v>
      </c>
      <c r="K97" s="23" t="s">
        <v>8</v>
      </c>
      <c r="L97" s="18">
        <v>1</v>
      </c>
      <c r="M97" s="23"/>
      <c r="N97" s="46" t="s">
        <v>395</v>
      </c>
      <c r="O97" s="23"/>
      <c r="P97" s="23"/>
      <c r="Q97" s="23"/>
      <c r="R97" s="23"/>
      <c r="S97" s="20">
        <f t="shared" si="0"/>
        <v>0.96692729833422364</v>
      </c>
      <c r="T97" s="20">
        <f t="shared" si="1"/>
        <v>3.3072701665776361E-2</v>
      </c>
      <c r="U97" s="21">
        <v>32.14</v>
      </c>
      <c r="V97" s="9"/>
      <c r="W97" s="9"/>
      <c r="X97" s="9"/>
      <c r="Y97" s="9"/>
      <c r="Z97" s="9"/>
      <c r="AA97" s="9"/>
    </row>
    <row r="98" spans="1:27" ht="14.25" customHeight="1">
      <c r="A98" s="10" t="s">
        <v>384</v>
      </c>
      <c r="B98" s="44">
        <v>35788114</v>
      </c>
      <c r="C98" s="13" t="s">
        <v>385</v>
      </c>
      <c r="D98" s="47" t="s">
        <v>396</v>
      </c>
      <c r="E98" s="45" t="s">
        <v>397</v>
      </c>
      <c r="F98" s="39" t="s">
        <v>8</v>
      </c>
      <c r="G98" s="15">
        <v>378000000</v>
      </c>
      <c r="H98" s="15">
        <v>395500000</v>
      </c>
      <c r="I98" s="23">
        <v>10</v>
      </c>
      <c r="J98" s="45" t="s">
        <v>394</v>
      </c>
      <c r="K98" s="23" t="s">
        <v>8</v>
      </c>
      <c r="L98" s="18">
        <v>1</v>
      </c>
      <c r="M98" s="23"/>
      <c r="N98" s="46" t="s">
        <v>395</v>
      </c>
      <c r="O98" s="23"/>
      <c r="P98" s="23"/>
      <c r="Q98" s="23"/>
      <c r="R98" s="23"/>
      <c r="S98" s="20">
        <f t="shared" si="0"/>
        <v>0.95575221238938057</v>
      </c>
      <c r="T98" s="20">
        <f t="shared" si="1"/>
        <v>4.4247787610619427E-2</v>
      </c>
      <c r="U98" s="28">
        <v>33</v>
      </c>
      <c r="V98" s="9"/>
      <c r="W98" s="9"/>
      <c r="X98" s="9"/>
      <c r="Y98" s="9"/>
      <c r="Z98" s="9"/>
      <c r="AA98" s="9"/>
    </row>
    <row r="99" spans="1:27" ht="14.25" customHeight="1">
      <c r="A99" s="10" t="s">
        <v>384</v>
      </c>
      <c r="B99" s="44">
        <v>35786114</v>
      </c>
      <c r="C99" s="13" t="s">
        <v>385</v>
      </c>
      <c r="D99" s="47" t="s">
        <v>398</v>
      </c>
      <c r="E99" s="45" t="s">
        <v>399</v>
      </c>
      <c r="F99" s="39" t="s">
        <v>8</v>
      </c>
      <c r="G99" s="15">
        <v>385127000</v>
      </c>
      <c r="H99" s="15">
        <v>395500000</v>
      </c>
      <c r="I99" s="23">
        <v>10</v>
      </c>
      <c r="J99" s="45" t="s">
        <v>394</v>
      </c>
      <c r="K99" s="23" t="s">
        <v>8</v>
      </c>
      <c r="L99" s="18">
        <v>1</v>
      </c>
      <c r="M99" s="23"/>
      <c r="N99" s="46" t="s">
        <v>395</v>
      </c>
      <c r="O99" s="23"/>
      <c r="P99" s="23"/>
      <c r="Q99" s="23"/>
      <c r="R99" s="23"/>
      <c r="S99" s="20">
        <f t="shared" si="0"/>
        <v>0.97377243994943108</v>
      </c>
      <c r="T99" s="20">
        <f t="shared" si="1"/>
        <v>2.6227560050568921E-2</v>
      </c>
      <c r="U99" s="21">
        <v>21.43</v>
      </c>
      <c r="V99" s="9"/>
      <c r="W99" s="9"/>
      <c r="X99" s="9"/>
      <c r="Y99" s="9"/>
      <c r="Z99" s="9"/>
      <c r="AA99" s="9"/>
    </row>
    <row r="100" spans="1:27" ht="14.25" customHeight="1">
      <c r="A100" s="10" t="s">
        <v>384</v>
      </c>
      <c r="B100" s="44">
        <v>44237114</v>
      </c>
      <c r="C100" s="13" t="s">
        <v>385</v>
      </c>
      <c r="D100" s="13" t="s">
        <v>400</v>
      </c>
      <c r="E100" s="45" t="s">
        <v>401</v>
      </c>
      <c r="F100" s="39" t="s">
        <v>8</v>
      </c>
      <c r="G100" s="15">
        <v>993500000</v>
      </c>
      <c r="H100" s="15">
        <v>1042800000</v>
      </c>
      <c r="I100" s="23">
        <v>15</v>
      </c>
      <c r="J100" s="45" t="s">
        <v>402</v>
      </c>
      <c r="K100" s="23" t="s">
        <v>8</v>
      </c>
      <c r="L100" s="18">
        <v>1</v>
      </c>
      <c r="M100" s="23"/>
      <c r="N100" s="46" t="s">
        <v>395</v>
      </c>
      <c r="O100" s="23"/>
      <c r="P100" s="23"/>
      <c r="Q100" s="23"/>
      <c r="R100" s="23"/>
      <c r="S100" s="20">
        <f t="shared" si="0"/>
        <v>0.95272343690065209</v>
      </c>
      <c r="T100" s="20">
        <f t="shared" si="1"/>
        <v>4.7276563099347912E-2</v>
      </c>
      <c r="U100" s="21">
        <v>28.57</v>
      </c>
      <c r="V100" s="9"/>
      <c r="W100" s="9"/>
      <c r="X100" s="9"/>
      <c r="Y100" s="9"/>
      <c r="Z100" s="9"/>
      <c r="AA100" s="9"/>
    </row>
    <row r="101" spans="1:27" ht="14.25" customHeight="1">
      <c r="A101" s="10" t="s">
        <v>384</v>
      </c>
      <c r="B101" s="44">
        <v>44255114</v>
      </c>
      <c r="C101" s="13" t="s">
        <v>385</v>
      </c>
      <c r="D101" s="47" t="s">
        <v>403</v>
      </c>
      <c r="E101" s="45" t="s">
        <v>397</v>
      </c>
      <c r="F101" s="39" t="s">
        <v>8</v>
      </c>
      <c r="G101" s="15">
        <v>1042000000</v>
      </c>
      <c r="H101" s="15">
        <v>1086800000</v>
      </c>
      <c r="I101" s="23">
        <v>15</v>
      </c>
      <c r="J101" s="45" t="s">
        <v>402</v>
      </c>
      <c r="K101" s="23" t="s">
        <v>8</v>
      </c>
      <c r="L101" s="18">
        <v>1</v>
      </c>
      <c r="M101" s="23"/>
      <c r="N101" s="46" t="s">
        <v>395</v>
      </c>
      <c r="O101" s="23"/>
      <c r="P101" s="23"/>
      <c r="Q101" s="23"/>
      <c r="R101" s="23"/>
      <c r="S101" s="20">
        <f t="shared" si="0"/>
        <v>0.9587780640412219</v>
      </c>
      <c r="T101" s="20">
        <f t="shared" si="1"/>
        <v>4.12219359587781E-2</v>
      </c>
      <c r="U101" s="21">
        <v>42.86</v>
      </c>
      <c r="V101" s="9"/>
      <c r="W101" s="9"/>
      <c r="X101" s="9"/>
      <c r="Y101" s="9"/>
      <c r="Z101" s="9"/>
      <c r="AA101" s="9"/>
    </row>
    <row r="102" spans="1:27" ht="14.25" customHeight="1">
      <c r="A102" s="10" t="s">
        <v>384</v>
      </c>
      <c r="B102" s="44">
        <v>44262114</v>
      </c>
      <c r="C102" s="13" t="s">
        <v>385</v>
      </c>
      <c r="D102" s="47" t="s">
        <v>404</v>
      </c>
      <c r="E102" s="45" t="s">
        <v>405</v>
      </c>
      <c r="F102" s="39" t="s">
        <v>8</v>
      </c>
      <c r="G102" s="15">
        <v>777000000</v>
      </c>
      <c r="H102" s="15">
        <v>800800000</v>
      </c>
      <c r="I102" s="23">
        <v>15</v>
      </c>
      <c r="J102" s="45" t="s">
        <v>402</v>
      </c>
      <c r="K102" s="23" t="s">
        <v>8</v>
      </c>
      <c r="L102" s="18">
        <v>1</v>
      </c>
      <c r="M102" s="23"/>
      <c r="N102" s="46" t="s">
        <v>395</v>
      </c>
      <c r="O102" s="23"/>
      <c r="P102" s="23"/>
      <c r="Q102" s="23"/>
      <c r="R102" s="23"/>
      <c r="S102" s="20">
        <f t="shared" si="0"/>
        <v>0.97027972027972031</v>
      </c>
      <c r="T102" s="20">
        <f t="shared" si="1"/>
        <v>2.9720279720279685E-2</v>
      </c>
      <c r="U102" s="28">
        <v>46</v>
      </c>
      <c r="V102" s="9"/>
      <c r="W102" s="9"/>
      <c r="X102" s="9"/>
      <c r="Y102" s="9"/>
      <c r="Z102" s="9"/>
      <c r="AA102" s="9"/>
    </row>
    <row r="103" spans="1:27" ht="14.25" customHeight="1">
      <c r="A103" s="10" t="s">
        <v>384</v>
      </c>
      <c r="B103" s="44">
        <v>65935114</v>
      </c>
      <c r="C103" s="13" t="s">
        <v>385</v>
      </c>
      <c r="D103" s="47" t="s">
        <v>406</v>
      </c>
      <c r="E103" s="45" t="s">
        <v>407</v>
      </c>
      <c r="F103" s="39" t="s">
        <v>8</v>
      </c>
      <c r="G103" s="15">
        <v>816000000</v>
      </c>
      <c r="H103" s="15">
        <v>838800000</v>
      </c>
      <c r="I103" s="23">
        <v>36</v>
      </c>
      <c r="J103" s="56" t="s">
        <v>408</v>
      </c>
      <c r="K103" s="23" t="s">
        <v>8</v>
      </c>
      <c r="L103" s="18">
        <v>1</v>
      </c>
      <c r="M103" s="23"/>
      <c r="N103" s="46" t="s">
        <v>8</v>
      </c>
      <c r="O103" s="23"/>
      <c r="P103" s="23"/>
      <c r="Q103" s="23"/>
      <c r="R103" s="23"/>
      <c r="S103" s="20">
        <f t="shared" si="0"/>
        <v>0.97281831187410583</v>
      </c>
      <c r="T103" s="20">
        <f t="shared" si="1"/>
        <v>2.7181688125894166E-2</v>
      </c>
      <c r="U103" s="28">
        <v>43</v>
      </c>
      <c r="V103" s="9"/>
      <c r="W103" s="9"/>
      <c r="X103" s="9"/>
      <c r="Y103" s="9"/>
      <c r="Z103" s="9"/>
      <c r="AA103" s="9"/>
    </row>
    <row r="104" spans="1:27" ht="14.25" customHeight="1">
      <c r="A104" s="10" t="s">
        <v>409</v>
      </c>
      <c r="B104" s="44">
        <v>8886683114</v>
      </c>
      <c r="C104" s="13" t="s">
        <v>410</v>
      </c>
      <c r="D104" s="57" t="s">
        <v>411</v>
      </c>
      <c r="E104" s="45" t="s">
        <v>412</v>
      </c>
      <c r="F104" s="39" t="s">
        <v>0</v>
      </c>
      <c r="G104" s="15">
        <v>46130115399</v>
      </c>
      <c r="H104" s="15">
        <v>51389283832</v>
      </c>
      <c r="I104" s="23">
        <v>11</v>
      </c>
      <c r="J104" s="45" t="s">
        <v>413</v>
      </c>
      <c r="K104" s="23" t="s">
        <v>8</v>
      </c>
      <c r="L104" s="18">
        <v>2</v>
      </c>
      <c r="M104" s="23"/>
      <c r="N104" s="46" t="s">
        <v>414</v>
      </c>
      <c r="O104" s="23"/>
      <c r="P104" s="23"/>
      <c r="Q104" s="23"/>
      <c r="R104" s="23"/>
      <c r="S104" s="20">
        <f t="shared" si="0"/>
        <v>0.89766021160767517</v>
      </c>
      <c r="T104" s="20">
        <f t="shared" si="1"/>
        <v>0.10233978839232483</v>
      </c>
      <c r="U104" s="28">
        <v>36</v>
      </c>
      <c r="V104" s="9"/>
      <c r="W104" s="9"/>
      <c r="X104" s="9"/>
      <c r="Y104" s="9"/>
      <c r="Z104" s="9"/>
      <c r="AA104" s="9"/>
    </row>
    <row r="105" spans="1:27" ht="14.25" customHeight="1">
      <c r="A105" s="58" t="s">
        <v>415</v>
      </c>
      <c r="B105" s="59">
        <v>90148114</v>
      </c>
      <c r="C105" s="60" t="s">
        <v>416</v>
      </c>
      <c r="D105" s="19" t="s">
        <v>417</v>
      </c>
      <c r="E105" s="61" t="s">
        <v>418</v>
      </c>
      <c r="F105" s="14" t="s">
        <v>419</v>
      </c>
      <c r="G105" s="40">
        <v>33562547023.5</v>
      </c>
      <c r="H105" s="40">
        <v>37691891400</v>
      </c>
      <c r="I105" s="16">
        <v>37</v>
      </c>
      <c r="J105" s="14" t="s">
        <v>420</v>
      </c>
      <c r="K105" s="16" t="s">
        <v>421</v>
      </c>
      <c r="L105" s="34">
        <v>1</v>
      </c>
      <c r="M105" s="16" t="s">
        <v>421</v>
      </c>
      <c r="N105" s="31" t="s">
        <v>422</v>
      </c>
      <c r="O105" s="16" t="s">
        <v>35</v>
      </c>
      <c r="P105" s="16" t="s">
        <v>35</v>
      </c>
      <c r="Q105" s="16" t="s">
        <v>35</v>
      </c>
      <c r="R105" s="23"/>
      <c r="S105" s="20">
        <f t="shared" si="0"/>
        <v>0.89044475553964908</v>
      </c>
      <c r="T105" s="20">
        <f t="shared" si="1"/>
        <v>0.10955524446035092</v>
      </c>
      <c r="U105" s="28">
        <v>43</v>
      </c>
      <c r="V105" s="9"/>
      <c r="W105" s="9"/>
      <c r="X105" s="9"/>
      <c r="Y105" s="9"/>
      <c r="Z105" s="9"/>
      <c r="AA105" s="9"/>
    </row>
    <row r="106" spans="1:27" ht="14.25" customHeight="1">
      <c r="A106" s="62" t="s">
        <v>423</v>
      </c>
      <c r="B106" s="63">
        <v>69956114</v>
      </c>
      <c r="C106" s="64" t="s">
        <v>424</v>
      </c>
      <c r="D106" s="19" t="s">
        <v>425</v>
      </c>
      <c r="E106" s="65" t="s">
        <v>426</v>
      </c>
      <c r="F106" s="14" t="s">
        <v>419</v>
      </c>
      <c r="G106" s="66">
        <v>308159767226.62</v>
      </c>
      <c r="H106" s="66">
        <v>341077616875</v>
      </c>
      <c r="I106" s="16">
        <v>100</v>
      </c>
      <c r="J106" s="22" t="s">
        <v>427</v>
      </c>
      <c r="K106" s="16" t="s">
        <v>35</v>
      </c>
      <c r="L106" s="34">
        <v>1</v>
      </c>
      <c r="M106" s="16" t="s">
        <v>35</v>
      </c>
      <c r="N106" s="31" t="s">
        <v>428</v>
      </c>
      <c r="O106" s="16" t="s">
        <v>35</v>
      </c>
      <c r="P106" s="16" t="s">
        <v>35</v>
      </c>
      <c r="Q106" s="16" t="s">
        <v>35</v>
      </c>
      <c r="R106" s="23"/>
      <c r="S106" s="20">
        <f t="shared" si="0"/>
        <v>0.90348868404213134</v>
      </c>
      <c r="T106" s="20">
        <f t="shared" si="1"/>
        <v>9.651131595786866E-2</v>
      </c>
      <c r="U106" s="28">
        <v>68</v>
      </c>
      <c r="V106" s="9"/>
      <c r="W106" s="9"/>
      <c r="X106" s="9"/>
      <c r="Y106" s="9"/>
      <c r="Z106" s="9"/>
      <c r="AA106" s="9"/>
    </row>
    <row r="107" spans="1:27" ht="14.25" customHeight="1">
      <c r="A107" s="62" t="s">
        <v>429</v>
      </c>
      <c r="B107" s="31">
        <v>87844114</v>
      </c>
      <c r="C107" s="19" t="s">
        <v>430</v>
      </c>
      <c r="D107" s="19" t="s">
        <v>431</v>
      </c>
      <c r="E107" s="22" t="s">
        <v>137</v>
      </c>
      <c r="F107" s="14" t="s">
        <v>419</v>
      </c>
      <c r="G107" s="41">
        <v>49750834190</v>
      </c>
      <c r="H107" s="41">
        <v>52288496000</v>
      </c>
      <c r="I107" s="16">
        <v>23</v>
      </c>
      <c r="J107" s="14" t="s">
        <v>432</v>
      </c>
      <c r="K107" s="16" t="s">
        <v>421</v>
      </c>
      <c r="L107" s="34">
        <v>2</v>
      </c>
      <c r="M107" s="16" t="s">
        <v>35</v>
      </c>
      <c r="N107" s="67" t="s">
        <v>433</v>
      </c>
      <c r="O107" s="16" t="s">
        <v>35</v>
      </c>
      <c r="P107" s="16" t="s">
        <v>35</v>
      </c>
      <c r="Q107" s="16" t="s">
        <v>35</v>
      </c>
      <c r="R107" s="23"/>
      <c r="S107" s="20">
        <f t="shared" si="0"/>
        <v>0.95146806651313898</v>
      </c>
      <c r="T107" s="20">
        <f t="shared" si="1"/>
        <v>4.8531933486861023E-2</v>
      </c>
      <c r="U107" s="28">
        <v>39</v>
      </c>
      <c r="V107" s="9"/>
      <c r="W107" s="9"/>
      <c r="X107" s="9"/>
      <c r="Y107" s="9"/>
      <c r="Z107" s="9"/>
      <c r="AA107" s="9"/>
    </row>
    <row r="108" spans="1:27" ht="14.25" customHeight="1">
      <c r="A108" s="29" t="s">
        <v>434</v>
      </c>
      <c r="B108" s="31">
        <v>51405114</v>
      </c>
      <c r="C108" s="19" t="s">
        <v>435</v>
      </c>
      <c r="D108" s="19" t="s">
        <v>436</v>
      </c>
      <c r="E108" s="22" t="s">
        <v>437</v>
      </c>
      <c r="F108" s="35" t="s">
        <v>8</v>
      </c>
      <c r="G108" s="41">
        <v>297486000</v>
      </c>
      <c r="H108" s="41">
        <v>342004000</v>
      </c>
      <c r="I108" s="16"/>
      <c r="J108" s="35" t="s">
        <v>438</v>
      </c>
      <c r="K108" s="16" t="s">
        <v>35</v>
      </c>
      <c r="L108" s="34">
        <v>1</v>
      </c>
      <c r="M108" s="16" t="s">
        <v>35</v>
      </c>
      <c r="N108" s="16" t="s">
        <v>439</v>
      </c>
      <c r="O108" s="16" t="s">
        <v>35</v>
      </c>
      <c r="P108" s="16" t="s">
        <v>35</v>
      </c>
      <c r="Q108" s="16" t="s">
        <v>35</v>
      </c>
      <c r="R108" s="23"/>
      <c r="S108" s="20">
        <f t="shared" si="0"/>
        <v>0.86983193179027141</v>
      </c>
      <c r="T108" s="20">
        <f t="shared" si="1"/>
        <v>0.13016806820972859</v>
      </c>
      <c r="U108" s="21">
        <v>46.43</v>
      </c>
      <c r="V108" s="9"/>
      <c r="W108" s="9"/>
      <c r="X108" s="9"/>
      <c r="Y108" s="9"/>
      <c r="Z108" s="9"/>
      <c r="AA108" s="9"/>
    </row>
    <row r="109" spans="1:27" ht="14.25" customHeight="1">
      <c r="A109" s="29" t="s">
        <v>440</v>
      </c>
      <c r="B109" s="31">
        <v>91787114</v>
      </c>
      <c r="C109" s="19" t="s">
        <v>441</v>
      </c>
      <c r="D109" s="19" t="s">
        <v>442</v>
      </c>
      <c r="E109" s="22" t="s">
        <v>443</v>
      </c>
      <c r="F109" s="14" t="s">
        <v>0</v>
      </c>
      <c r="G109" s="40">
        <v>1350000000</v>
      </c>
      <c r="H109" s="40">
        <v>1239000000</v>
      </c>
      <c r="I109" s="16">
        <v>19</v>
      </c>
      <c r="J109" s="22" t="s">
        <v>444</v>
      </c>
      <c r="K109" s="16" t="s">
        <v>8</v>
      </c>
      <c r="L109" s="34">
        <v>1</v>
      </c>
      <c r="M109" s="16"/>
      <c r="N109" s="19" t="s">
        <v>439</v>
      </c>
      <c r="O109" s="16"/>
      <c r="P109" s="19"/>
      <c r="Q109" s="19"/>
      <c r="R109" s="23"/>
      <c r="S109" s="20">
        <f t="shared" si="0"/>
        <v>1.089588377723971</v>
      </c>
      <c r="T109" s="20">
        <f t="shared" si="1"/>
        <v>-8.9588377723970991E-2</v>
      </c>
      <c r="U109" s="28">
        <v>36</v>
      </c>
      <c r="V109" s="9"/>
      <c r="W109" s="9"/>
      <c r="X109" s="9"/>
      <c r="Y109" s="9"/>
      <c r="Z109" s="9"/>
      <c r="AA109" s="9"/>
    </row>
    <row r="110" spans="1:27" ht="14.25" customHeight="1">
      <c r="A110" s="29" t="s">
        <v>440</v>
      </c>
      <c r="B110" s="31">
        <v>89935114</v>
      </c>
      <c r="C110" s="19" t="s">
        <v>441</v>
      </c>
      <c r="D110" s="19" t="s">
        <v>445</v>
      </c>
      <c r="E110" s="22" t="s">
        <v>446</v>
      </c>
      <c r="F110" s="14" t="s">
        <v>8</v>
      </c>
      <c r="G110" s="40">
        <v>11466223000</v>
      </c>
      <c r="H110" s="40">
        <v>11422833389</v>
      </c>
      <c r="I110" s="16">
        <v>17</v>
      </c>
      <c r="J110" s="22" t="s">
        <v>447</v>
      </c>
      <c r="K110" s="16" t="s">
        <v>8</v>
      </c>
      <c r="L110" s="34">
        <v>1</v>
      </c>
      <c r="M110" s="16"/>
      <c r="N110" s="19" t="s">
        <v>439</v>
      </c>
      <c r="O110" s="16"/>
      <c r="P110" s="19"/>
      <c r="Q110" s="19"/>
      <c r="R110" s="23"/>
      <c r="S110" s="20">
        <f t="shared" si="0"/>
        <v>1.0037984981065891</v>
      </c>
      <c r="T110" s="20">
        <f t="shared" si="1"/>
        <v>-3.7984981065890544E-3</v>
      </c>
      <c r="U110" s="28">
        <v>68</v>
      </c>
      <c r="V110" s="9"/>
      <c r="W110" s="9"/>
      <c r="X110" s="9"/>
      <c r="Y110" s="9"/>
      <c r="Z110" s="9"/>
      <c r="AA110" s="9"/>
    </row>
    <row r="111" spans="1:27" ht="14.25" customHeight="1">
      <c r="A111" s="29" t="s">
        <v>448</v>
      </c>
      <c r="B111" s="31">
        <v>89531114</v>
      </c>
      <c r="C111" s="19" t="s">
        <v>449</v>
      </c>
      <c r="D111" s="19" t="s">
        <v>450</v>
      </c>
      <c r="E111" s="22" t="s">
        <v>451</v>
      </c>
      <c r="F111" s="14" t="s">
        <v>0</v>
      </c>
      <c r="G111" s="40">
        <v>86436648000</v>
      </c>
      <c r="H111" s="40">
        <v>86202424983</v>
      </c>
      <c r="I111" s="16">
        <v>26</v>
      </c>
      <c r="J111" s="22" t="s">
        <v>447</v>
      </c>
      <c r="K111" s="16" t="s">
        <v>0</v>
      </c>
      <c r="L111" s="34">
        <v>2</v>
      </c>
      <c r="M111" s="16"/>
      <c r="N111" s="19" t="s">
        <v>452</v>
      </c>
      <c r="O111" s="16"/>
      <c r="P111" s="19"/>
      <c r="Q111" s="19"/>
      <c r="R111" s="23"/>
      <c r="S111" s="20">
        <f t="shared" si="0"/>
        <v>1.0027171279351619</v>
      </c>
      <c r="T111" s="20">
        <f t="shared" si="1"/>
        <v>-2.7171279351618782E-3</v>
      </c>
      <c r="U111" s="28">
        <v>39</v>
      </c>
      <c r="V111" s="9"/>
      <c r="W111" s="9"/>
      <c r="X111" s="9"/>
      <c r="Y111" s="9"/>
      <c r="Z111" s="9"/>
      <c r="AA111" s="9"/>
    </row>
    <row r="112" spans="1:27" ht="14.25" customHeight="1">
      <c r="A112" s="29" t="s">
        <v>453</v>
      </c>
      <c r="B112" s="31">
        <v>90406114</v>
      </c>
      <c r="C112" s="19" t="s">
        <v>454</v>
      </c>
      <c r="D112" s="19" t="s">
        <v>455</v>
      </c>
      <c r="E112" s="22" t="s">
        <v>456</v>
      </c>
      <c r="F112" s="14" t="s">
        <v>0</v>
      </c>
      <c r="G112" s="40">
        <v>72793000000</v>
      </c>
      <c r="H112" s="40">
        <v>72793000000</v>
      </c>
      <c r="I112" s="16">
        <v>14</v>
      </c>
      <c r="J112" s="22" t="s">
        <v>457</v>
      </c>
      <c r="K112" s="16" t="s">
        <v>0</v>
      </c>
      <c r="L112" s="34">
        <v>2</v>
      </c>
      <c r="M112" s="16"/>
      <c r="N112" s="19" t="s">
        <v>458</v>
      </c>
      <c r="O112" s="16"/>
      <c r="P112" s="19"/>
      <c r="Q112" s="19"/>
      <c r="R112" s="23"/>
      <c r="S112" s="20">
        <f t="shared" si="0"/>
        <v>1</v>
      </c>
      <c r="T112" s="20">
        <f t="shared" si="1"/>
        <v>0</v>
      </c>
      <c r="U112" s="28">
        <v>50</v>
      </c>
      <c r="V112" s="9"/>
      <c r="W112" s="9"/>
      <c r="X112" s="9"/>
      <c r="Y112" s="9"/>
      <c r="Z112" s="9"/>
      <c r="AA112" s="9"/>
    </row>
    <row r="113" spans="1:27" ht="14.25" customHeight="1">
      <c r="A113" s="29" t="s">
        <v>459</v>
      </c>
      <c r="B113" s="68">
        <v>90191114</v>
      </c>
      <c r="C113" s="19" t="s">
        <v>416</v>
      </c>
      <c r="D113" s="19" t="s">
        <v>460</v>
      </c>
      <c r="E113" s="22" t="s">
        <v>461</v>
      </c>
      <c r="F113" s="14" t="s">
        <v>0</v>
      </c>
      <c r="G113" s="40">
        <v>5708100000</v>
      </c>
      <c r="H113" s="40">
        <v>5708085619</v>
      </c>
      <c r="I113" s="16">
        <v>40</v>
      </c>
      <c r="J113" s="22" t="s">
        <v>462</v>
      </c>
      <c r="K113" s="16" t="s">
        <v>0</v>
      </c>
      <c r="L113" s="34">
        <v>1</v>
      </c>
      <c r="M113" s="16"/>
      <c r="N113" s="19" t="s">
        <v>439</v>
      </c>
      <c r="O113" s="16"/>
      <c r="P113" s="19"/>
      <c r="Q113" s="19"/>
      <c r="R113" s="23"/>
      <c r="S113" s="20">
        <f t="shared" si="0"/>
        <v>1.0000025194086004</v>
      </c>
      <c r="T113" s="20">
        <f t="shared" si="1"/>
        <v>-2.5194086004098892E-6</v>
      </c>
      <c r="U113" s="28">
        <v>46</v>
      </c>
      <c r="V113" s="9"/>
      <c r="W113" s="9"/>
      <c r="X113" s="9"/>
      <c r="Y113" s="9"/>
      <c r="Z113" s="9"/>
      <c r="AA113" s="9"/>
    </row>
    <row r="114" spans="1:27" ht="14.25" customHeight="1">
      <c r="A114" s="29" t="s">
        <v>463</v>
      </c>
      <c r="B114" s="31">
        <v>90147114</v>
      </c>
      <c r="C114" s="19" t="s">
        <v>464</v>
      </c>
      <c r="D114" s="19" t="s">
        <v>465</v>
      </c>
      <c r="E114" s="22" t="s">
        <v>466</v>
      </c>
      <c r="F114" s="14" t="s">
        <v>0</v>
      </c>
      <c r="G114" s="40">
        <v>19513000000</v>
      </c>
      <c r="H114" s="40">
        <v>19513000000</v>
      </c>
      <c r="I114" s="16">
        <v>8</v>
      </c>
      <c r="J114" s="22" t="s">
        <v>467</v>
      </c>
      <c r="K114" s="16" t="s">
        <v>8</v>
      </c>
      <c r="L114" s="34">
        <v>1</v>
      </c>
      <c r="M114" s="16"/>
      <c r="N114" s="19" t="s">
        <v>468</v>
      </c>
      <c r="O114" s="16"/>
      <c r="P114" s="19"/>
      <c r="Q114" s="19"/>
      <c r="R114" s="23"/>
      <c r="S114" s="20">
        <f t="shared" si="0"/>
        <v>1</v>
      </c>
      <c r="T114" s="20">
        <f t="shared" si="1"/>
        <v>0</v>
      </c>
      <c r="U114" s="28">
        <v>36</v>
      </c>
      <c r="V114" s="9"/>
      <c r="W114" s="9"/>
      <c r="X114" s="9"/>
      <c r="Y114" s="9"/>
      <c r="Z114" s="9"/>
      <c r="AA114" s="9"/>
    </row>
    <row r="115" spans="1:27" ht="14.25" customHeight="1">
      <c r="A115" s="29" t="s">
        <v>469</v>
      </c>
      <c r="B115" s="31">
        <v>90678114</v>
      </c>
      <c r="C115" s="19" t="s">
        <v>470</v>
      </c>
      <c r="D115" s="19" t="s">
        <v>471</v>
      </c>
      <c r="E115" s="22" t="s">
        <v>472</v>
      </c>
      <c r="F115" s="14" t="s">
        <v>0</v>
      </c>
      <c r="G115" s="40">
        <v>19343829000</v>
      </c>
      <c r="H115" s="40">
        <v>19343731316</v>
      </c>
      <c r="I115" s="16">
        <v>13</v>
      </c>
      <c r="J115" s="22"/>
      <c r="K115" s="16" t="s">
        <v>8</v>
      </c>
      <c r="L115" s="34">
        <v>1</v>
      </c>
      <c r="M115" s="16"/>
      <c r="N115" s="19" t="s">
        <v>439</v>
      </c>
      <c r="O115" s="16"/>
      <c r="P115" s="19"/>
      <c r="Q115" s="19"/>
      <c r="R115" s="23"/>
      <c r="S115" s="20">
        <f t="shared" si="0"/>
        <v>1.0000050499047162</v>
      </c>
      <c r="T115" s="20">
        <f t="shared" si="1"/>
        <v>-5.0499047161700616E-6</v>
      </c>
      <c r="U115" s="28">
        <v>50</v>
      </c>
      <c r="V115" s="9"/>
      <c r="W115" s="9"/>
      <c r="X115" s="9"/>
      <c r="Y115" s="9"/>
      <c r="Z115" s="9"/>
      <c r="AA115" s="9"/>
    </row>
    <row r="116" spans="1:27" ht="14.25" customHeight="1">
      <c r="A116" s="29" t="s">
        <v>473</v>
      </c>
      <c r="B116" s="31">
        <v>89372114</v>
      </c>
      <c r="C116" s="19" t="s">
        <v>474</v>
      </c>
      <c r="D116" s="19" t="s">
        <v>475</v>
      </c>
      <c r="E116" s="22" t="s">
        <v>476</v>
      </c>
      <c r="F116" s="14" t="s">
        <v>0</v>
      </c>
      <c r="G116" s="15">
        <v>67301206016</v>
      </c>
      <c r="H116" s="15">
        <v>73794000091</v>
      </c>
      <c r="I116" s="69">
        <v>13</v>
      </c>
      <c r="J116" s="70" t="s">
        <v>477</v>
      </c>
      <c r="K116" s="16"/>
      <c r="L116" s="34">
        <v>1</v>
      </c>
      <c r="M116" s="16"/>
      <c r="N116" s="19" t="s">
        <v>478</v>
      </c>
      <c r="O116" s="16" t="s">
        <v>8</v>
      </c>
      <c r="P116" s="19"/>
      <c r="Q116" s="19"/>
      <c r="R116" s="23"/>
      <c r="S116" s="20">
        <f t="shared" si="0"/>
        <v>0.91201460732588924</v>
      </c>
      <c r="T116" s="20">
        <f t="shared" si="1"/>
        <v>8.7985392674110763E-2</v>
      </c>
      <c r="U116" s="28">
        <v>46</v>
      </c>
      <c r="V116" s="9"/>
      <c r="W116" s="9"/>
      <c r="X116" s="9"/>
      <c r="Y116" s="9"/>
      <c r="Z116" s="9"/>
      <c r="AA116" s="9"/>
    </row>
    <row r="117" spans="1:27" ht="14.25" customHeight="1">
      <c r="A117" s="29" t="s">
        <v>479</v>
      </c>
      <c r="B117" s="31">
        <v>89646114</v>
      </c>
      <c r="C117" s="19" t="s">
        <v>480</v>
      </c>
      <c r="D117" s="19" t="s">
        <v>481</v>
      </c>
      <c r="E117" s="22" t="s">
        <v>482</v>
      </c>
      <c r="F117" s="14" t="s">
        <v>0</v>
      </c>
      <c r="G117" s="40">
        <v>135465654000</v>
      </c>
      <c r="H117" s="40">
        <v>35746881900</v>
      </c>
      <c r="I117" s="16">
        <v>23</v>
      </c>
      <c r="J117" s="22" t="s">
        <v>483</v>
      </c>
      <c r="K117" s="16" t="s">
        <v>0</v>
      </c>
      <c r="L117" s="34">
        <v>1</v>
      </c>
      <c r="M117" s="16"/>
      <c r="N117" s="16" t="s">
        <v>484</v>
      </c>
      <c r="O117" s="16"/>
      <c r="P117" s="19"/>
      <c r="Q117" s="19"/>
      <c r="R117" s="23"/>
      <c r="S117" s="20">
        <f t="shared" si="0"/>
        <v>3.7895795884787367</v>
      </c>
      <c r="T117" s="20">
        <f t="shared" si="1"/>
        <v>-2.7895795884787367</v>
      </c>
      <c r="U117" s="28">
        <v>61</v>
      </c>
      <c r="V117" s="9"/>
      <c r="W117" s="9"/>
      <c r="X117" s="9"/>
      <c r="Y117" s="9"/>
      <c r="Z117" s="9"/>
      <c r="AA117" s="9"/>
    </row>
    <row r="118" spans="1:27" ht="14.25" customHeight="1">
      <c r="A118" s="29" t="s">
        <v>479</v>
      </c>
      <c r="B118" s="31">
        <v>90756114</v>
      </c>
      <c r="C118" s="19" t="s">
        <v>480</v>
      </c>
      <c r="D118" s="19" t="s">
        <v>485</v>
      </c>
      <c r="E118" s="22" t="s">
        <v>486</v>
      </c>
      <c r="F118" s="14" t="s">
        <v>0</v>
      </c>
      <c r="G118" s="40">
        <v>55026180000</v>
      </c>
      <c r="H118" s="40">
        <v>55021000000</v>
      </c>
      <c r="I118" s="16">
        <v>13</v>
      </c>
      <c r="J118" s="71" t="s">
        <v>487</v>
      </c>
      <c r="K118" s="16" t="s">
        <v>8</v>
      </c>
      <c r="L118" s="34">
        <v>1</v>
      </c>
      <c r="M118" s="16"/>
      <c r="N118" s="19" t="s">
        <v>488</v>
      </c>
      <c r="O118" s="16"/>
      <c r="P118" s="19"/>
      <c r="Q118" s="19"/>
      <c r="R118" s="23"/>
      <c r="S118" s="20">
        <f t="shared" si="0"/>
        <v>1.0000941458715764</v>
      </c>
      <c r="T118" s="20">
        <f t="shared" si="1"/>
        <v>-9.4145871576412077E-5</v>
      </c>
      <c r="U118" s="28">
        <v>54</v>
      </c>
      <c r="V118" s="9"/>
      <c r="W118" s="9"/>
      <c r="X118" s="9"/>
      <c r="Y118" s="9"/>
      <c r="Z118" s="9"/>
      <c r="AA118" s="9"/>
    </row>
    <row r="119" spans="1:27" ht="14.25" customHeight="1">
      <c r="A119" s="62" t="s">
        <v>489</v>
      </c>
      <c r="B119" s="31">
        <v>58471114</v>
      </c>
      <c r="C119" s="19" t="s">
        <v>490</v>
      </c>
      <c r="D119" s="19" t="s">
        <v>491</v>
      </c>
      <c r="E119" s="22" t="s">
        <v>492</v>
      </c>
      <c r="F119" s="35" t="s">
        <v>8</v>
      </c>
      <c r="G119" s="15">
        <v>6889179650</v>
      </c>
      <c r="H119" s="41">
        <v>7064932958</v>
      </c>
      <c r="I119" s="69">
        <v>13</v>
      </c>
      <c r="J119" s="70" t="s">
        <v>493</v>
      </c>
      <c r="K119" s="16"/>
      <c r="L119" s="34">
        <v>1</v>
      </c>
      <c r="M119" s="16"/>
      <c r="N119" s="19" t="s">
        <v>494</v>
      </c>
      <c r="O119" s="16"/>
      <c r="P119" s="19"/>
      <c r="Q119" s="19"/>
      <c r="R119" s="23"/>
      <c r="S119" s="20">
        <f t="shared" si="0"/>
        <v>0.97512314567670666</v>
      </c>
      <c r="T119" s="20">
        <f t="shared" si="1"/>
        <v>2.487685432329334E-2</v>
      </c>
      <c r="U119" s="21">
        <v>60.71</v>
      </c>
      <c r="V119" s="9"/>
      <c r="W119" s="9"/>
      <c r="X119" s="9"/>
      <c r="Y119" s="9"/>
      <c r="Z119" s="9"/>
      <c r="AA119" s="9"/>
    </row>
    <row r="120" spans="1:27" ht="14.25" customHeight="1">
      <c r="A120" s="62" t="s">
        <v>495</v>
      </c>
      <c r="B120" s="31">
        <v>54728114</v>
      </c>
      <c r="C120" s="19" t="s">
        <v>496</v>
      </c>
      <c r="D120" s="19" t="s">
        <v>417</v>
      </c>
      <c r="E120" s="22" t="s">
        <v>497</v>
      </c>
      <c r="F120" s="35" t="s">
        <v>8</v>
      </c>
      <c r="G120" s="15">
        <v>4060859000</v>
      </c>
      <c r="H120" s="41">
        <v>4252294484</v>
      </c>
      <c r="I120" s="69">
        <v>21</v>
      </c>
      <c r="J120" s="70" t="s">
        <v>498</v>
      </c>
      <c r="K120" s="16"/>
      <c r="L120" s="34">
        <v>1</v>
      </c>
      <c r="M120" s="16"/>
      <c r="N120" s="19"/>
      <c r="O120" s="16"/>
      <c r="P120" s="19"/>
      <c r="Q120" s="19"/>
      <c r="R120" s="23"/>
      <c r="S120" s="20">
        <f t="shared" si="0"/>
        <v>0.95498066168269635</v>
      </c>
      <c r="T120" s="20">
        <f t="shared" si="1"/>
        <v>4.5019338317303648E-2</v>
      </c>
      <c r="U120" s="21">
        <v>50</v>
      </c>
      <c r="V120" s="9"/>
      <c r="W120" s="9"/>
      <c r="X120" s="9"/>
      <c r="Y120" s="9"/>
      <c r="Z120" s="9"/>
      <c r="AA120" s="9"/>
    </row>
    <row r="121" spans="1:27" ht="14.25" customHeight="1">
      <c r="A121" s="62" t="s">
        <v>495</v>
      </c>
      <c r="B121" s="31">
        <v>48813114</v>
      </c>
      <c r="C121" s="19" t="s">
        <v>496</v>
      </c>
      <c r="D121" s="19" t="s">
        <v>499</v>
      </c>
      <c r="E121" s="22" t="s">
        <v>500</v>
      </c>
      <c r="F121" s="35" t="s">
        <v>0</v>
      </c>
      <c r="G121" s="15">
        <v>4790286700</v>
      </c>
      <c r="H121" s="41">
        <v>4798000458</v>
      </c>
      <c r="I121" s="69">
        <v>18</v>
      </c>
      <c r="J121" s="70" t="s">
        <v>501</v>
      </c>
      <c r="K121" s="16"/>
      <c r="L121" s="34">
        <v>1</v>
      </c>
      <c r="M121" s="16"/>
      <c r="N121" s="19"/>
      <c r="O121" s="16"/>
      <c r="P121" s="19"/>
      <c r="Q121" s="19"/>
      <c r="R121" s="23"/>
      <c r="S121" s="20">
        <f t="shared" si="0"/>
        <v>0.99839229736063517</v>
      </c>
      <c r="T121" s="20">
        <f t="shared" si="1"/>
        <v>1.6077026393648275E-3</v>
      </c>
      <c r="U121" s="21">
        <v>46.43</v>
      </c>
      <c r="V121" s="9"/>
      <c r="W121" s="9"/>
      <c r="X121" s="9"/>
      <c r="Y121" s="9"/>
      <c r="Z121" s="9"/>
      <c r="AA121" s="9"/>
    </row>
    <row r="122" spans="1:27" ht="14.25" customHeight="1">
      <c r="A122" s="62" t="s">
        <v>495</v>
      </c>
      <c r="B122" s="31">
        <v>51383114</v>
      </c>
      <c r="C122" s="19" t="s">
        <v>496</v>
      </c>
      <c r="D122" s="19" t="s">
        <v>502</v>
      </c>
      <c r="E122" s="22" t="s">
        <v>503</v>
      </c>
      <c r="F122" s="35" t="s">
        <v>0</v>
      </c>
      <c r="G122" s="15">
        <v>1790840000</v>
      </c>
      <c r="H122" s="41">
        <v>1790976169</v>
      </c>
      <c r="I122" s="69">
        <v>15</v>
      </c>
      <c r="J122" s="70" t="s">
        <v>504</v>
      </c>
      <c r="K122" s="16"/>
      <c r="L122" s="34">
        <v>1</v>
      </c>
      <c r="M122" s="16"/>
      <c r="N122" s="19"/>
      <c r="O122" s="16"/>
      <c r="P122" s="19"/>
      <c r="Q122" s="19"/>
      <c r="R122" s="23"/>
      <c r="S122" s="20">
        <f t="shared" si="0"/>
        <v>0.99992396939593231</v>
      </c>
      <c r="T122" s="20">
        <f t="shared" si="1"/>
        <v>7.6030604067689467E-5</v>
      </c>
      <c r="U122" s="21">
        <v>42.86</v>
      </c>
      <c r="V122" s="9"/>
      <c r="W122" s="9"/>
      <c r="X122" s="9"/>
      <c r="Y122" s="9"/>
      <c r="Z122" s="9"/>
      <c r="AA122" s="9"/>
    </row>
    <row r="123" spans="1:27" ht="14.25" customHeight="1">
      <c r="A123" s="62" t="s">
        <v>495</v>
      </c>
      <c r="B123" s="31">
        <v>55621114</v>
      </c>
      <c r="C123" s="19" t="s">
        <v>496</v>
      </c>
      <c r="D123" s="19" t="s">
        <v>505</v>
      </c>
      <c r="E123" s="22" t="s">
        <v>506</v>
      </c>
      <c r="F123" s="35" t="s">
        <v>0</v>
      </c>
      <c r="G123" s="15">
        <v>1884200000</v>
      </c>
      <c r="H123" s="41">
        <v>1842778042</v>
      </c>
      <c r="I123" s="69">
        <v>36</v>
      </c>
      <c r="J123" s="70" t="s">
        <v>507</v>
      </c>
      <c r="K123" s="16"/>
      <c r="L123" s="34">
        <v>1</v>
      </c>
      <c r="M123" s="16"/>
      <c r="N123" s="19"/>
      <c r="O123" s="16"/>
      <c r="P123" s="19"/>
      <c r="Q123" s="19"/>
      <c r="R123" s="23"/>
      <c r="S123" s="20">
        <f t="shared" si="0"/>
        <v>1.0224779962946835</v>
      </c>
      <c r="T123" s="20">
        <f t="shared" si="1"/>
        <v>-2.24779962946835E-2</v>
      </c>
      <c r="U123" s="21">
        <v>46.43</v>
      </c>
      <c r="V123" s="9"/>
      <c r="W123" s="9"/>
      <c r="X123" s="9"/>
      <c r="Y123" s="9"/>
      <c r="Z123" s="9"/>
      <c r="AA123" s="9"/>
    </row>
    <row r="124" spans="1:27" ht="14.25" customHeight="1">
      <c r="A124" s="29" t="s">
        <v>508</v>
      </c>
      <c r="B124" s="31">
        <v>89229114</v>
      </c>
      <c r="C124" s="19" t="s">
        <v>509</v>
      </c>
      <c r="D124" s="19" t="s">
        <v>510</v>
      </c>
      <c r="E124" s="22" t="s">
        <v>511</v>
      </c>
      <c r="F124" s="14" t="s">
        <v>0</v>
      </c>
      <c r="G124" s="40">
        <v>219403893884</v>
      </c>
      <c r="H124" s="40">
        <v>219285282174</v>
      </c>
      <c r="I124" s="16">
        <v>21</v>
      </c>
      <c r="J124" s="22" t="s">
        <v>512</v>
      </c>
      <c r="K124" s="16" t="s">
        <v>8</v>
      </c>
      <c r="L124" s="34">
        <v>2</v>
      </c>
      <c r="M124" s="16"/>
      <c r="N124" s="16" t="s">
        <v>513</v>
      </c>
      <c r="O124" s="16"/>
      <c r="P124" s="19"/>
      <c r="Q124" s="19"/>
      <c r="R124" s="23"/>
      <c r="S124" s="20">
        <f t="shared" si="0"/>
        <v>1.0005409013720579</v>
      </c>
      <c r="T124" s="20">
        <f t="shared" si="1"/>
        <v>-5.4090137205786704E-4</v>
      </c>
      <c r="U124" s="28">
        <v>68</v>
      </c>
      <c r="V124" s="9"/>
      <c r="W124" s="9"/>
      <c r="X124" s="9"/>
      <c r="Y124" s="9"/>
      <c r="Z124" s="9"/>
      <c r="AA124" s="9"/>
    </row>
    <row r="125" spans="1:27" ht="14.25" customHeight="1">
      <c r="A125" s="29" t="s">
        <v>508</v>
      </c>
      <c r="B125" s="31">
        <v>89136114</v>
      </c>
      <c r="C125" s="19" t="s">
        <v>509</v>
      </c>
      <c r="D125" s="19" t="s">
        <v>514</v>
      </c>
      <c r="E125" s="22" t="s">
        <v>515</v>
      </c>
      <c r="F125" s="14" t="s">
        <v>0</v>
      </c>
      <c r="G125" s="40">
        <v>8325000000</v>
      </c>
      <c r="H125" s="40">
        <v>8324445000</v>
      </c>
      <c r="I125" s="16">
        <v>12</v>
      </c>
      <c r="J125" s="22" t="s">
        <v>516</v>
      </c>
      <c r="K125" s="16" t="s">
        <v>0</v>
      </c>
      <c r="L125" s="34">
        <v>1</v>
      </c>
      <c r="M125" s="16"/>
      <c r="N125" s="16" t="s">
        <v>513</v>
      </c>
      <c r="O125" s="16"/>
      <c r="P125" s="19"/>
      <c r="Q125" s="19"/>
      <c r="R125" s="23"/>
      <c r="S125" s="20">
        <f t="shared" si="0"/>
        <v>1.0000666711114075</v>
      </c>
      <c r="T125" s="20">
        <f t="shared" si="1"/>
        <v>-6.6671111407456962E-5</v>
      </c>
      <c r="U125" s="28">
        <v>57</v>
      </c>
      <c r="V125" s="9"/>
      <c r="W125" s="9"/>
      <c r="X125" s="9"/>
      <c r="Y125" s="9"/>
      <c r="Z125" s="9"/>
      <c r="AA125" s="9"/>
    </row>
    <row r="126" spans="1:27" ht="14.25" customHeight="1">
      <c r="A126" s="29" t="s">
        <v>517</v>
      </c>
      <c r="B126" s="31">
        <v>85446114</v>
      </c>
      <c r="C126" s="19" t="s">
        <v>518</v>
      </c>
      <c r="D126" s="19" t="s">
        <v>519</v>
      </c>
      <c r="E126" s="22" t="s">
        <v>520</v>
      </c>
      <c r="F126" s="14" t="s">
        <v>0</v>
      </c>
      <c r="G126" s="40">
        <v>95756960000</v>
      </c>
      <c r="H126" s="40">
        <v>95757000000</v>
      </c>
      <c r="I126" s="16">
        <v>9</v>
      </c>
      <c r="J126" s="22" t="s">
        <v>521</v>
      </c>
      <c r="K126" s="16" t="s">
        <v>8</v>
      </c>
      <c r="L126" s="34">
        <v>1</v>
      </c>
      <c r="M126" s="16"/>
      <c r="N126" s="19" t="s">
        <v>522</v>
      </c>
      <c r="O126" s="16"/>
      <c r="P126" s="19"/>
      <c r="Q126" s="19"/>
      <c r="R126" s="23"/>
      <c r="S126" s="20">
        <f t="shared" si="0"/>
        <v>0.99999958227596941</v>
      </c>
      <c r="T126" s="20">
        <f t="shared" si="1"/>
        <v>4.1772403058804031E-7</v>
      </c>
      <c r="U126" s="28">
        <v>43</v>
      </c>
      <c r="V126" s="9"/>
      <c r="W126" s="9"/>
      <c r="X126" s="9"/>
      <c r="Y126" s="9"/>
      <c r="Z126" s="9"/>
      <c r="AA126" s="9"/>
    </row>
    <row r="127" spans="1:27" ht="14.25" customHeight="1">
      <c r="A127" s="29" t="s">
        <v>523</v>
      </c>
      <c r="B127" s="31">
        <v>89180114</v>
      </c>
      <c r="C127" s="19" t="s">
        <v>524</v>
      </c>
      <c r="D127" s="19" t="s">
        <v>525</v>
      </c>
      <c r="E127" s="22" t="s">
        <v>526</v>
      </c>
      <c r="F127" s="14" t="s">
        <v>0</v>
      </c>
      <c r="G127" s="40">
        <v>205292800000</v>
      </c>
      <c r="H127" s="40">
        <v>205292857000</v>
      </c>
      <c r="I127" s="16">
        <v>27</v>
      </c>
      <c r="J127" s="22" t="s">
        <v>512</v>
      </c>
      <c r="K127" s="16" t="s">
        <v>8</v>
      </c>
      <c r="L127" s="34">
        <v>2</v>
      </c>
      <c r="M127" s="16"/>
      <c r="N127" s="19" t="s">
        <v>513</v>
      </c>
      <c r="O127" s="16"/>
      <c r="P127" s="19"/>
      <c r="Q127" s="19"/>
      <c r="R127" s="23"/>
      <c r="S127" s="20">
        <f t="shared" si="0"/>
        <v>0.99999972234786527</v>
      </c>
      <c r="T127" s="20">
        <f t="shared" si="1"/>
        <v>2.7765213472807915E-7</v>
      </c>
      <c r="U127" s="28">
        <v>71</v>
      </c>
      <c r="V127" s="9"/>
      <c r="W127" s="9"/>
      <c r="X127" s="9"/>
      <c r="Y127" s="9"/>
      <c r="Z127" s="9"/>
      <c r="AA127" s="9"/>
    </row>
    <row r="128" spans="1:27" ht="14.25" customHeight="1">
      <c r="A128" s="29" t="s">
        <v>523</v>
      </c>
      <c r="B128" s="31">
        <v>89265114</v>
      </c>
      <c r="C128" s="19" t="s">
        <v>524</v>
      </c>
      <c r="D128" s="19" t="s">
        <v>527</v>
      </c>
      <c r="E128" s="22" t="s">
        <v>528</v>
      </c>
      <c r="F128" s="14" t="s">
        <v>0</v>
      </c>
      <c r="G128" s="40">
        <v>106546700000</v>
      </c>
      <c r="H128" s="40">
        <v>106546733000</v>
      </c>
      <c r="I128" s="16">
        <v>17</v>
      </c>
      <c r="J128" s="22" t="s">
        <v>529</v>
      </c>
      <c r="K128" s="16" t="s">
        <v>8</v>
      </c>
      <c r="L128" s="34">
        <v>2</v>
      </c>
      <c r="M128" s="16"/>
      <c r="N128" s="19" t="s">
        <v>513</v>
      </c>
      <c r="O128" s="16"/>
      <c r="P128" s="19"/>
      <c r="Q128" s="19"/>
      <c r="R128" s="23"/>
      <c r="S128" s="20">
        <f t="shared" si="0"/>
        <v>0.99999969027675395</v>
      </c>
      <c r="T128" s="20">
        <f t="shared" si="1"/>
        <v>3.0972324605027524E-7</v>
      </c>
      <c r="U128" s="28">
        <v>64</v>
      </c>
      <c r="V128" s="9"/>
      <c r="W128" s="9"/>
      <c r="X128" s="9"/>
      <c r="Y128" s="9"/>
      <c r="Z128" s="9"/>
      <c r="AA128" s="9"/>
    </row>
    <row r="129" spans="1:27" ht="14.25" customHeight="1">
      <c r="A129" s="29" t="s">
        <v>530</v>
      </c>
      <c r="B129" s="31">
        <v>88028114</v>
      </c>
      <c r="C129" s="19" t="s">
        <v>531</v>
      </c>
      <c r="D129" s="19" t="s">
        <v>481</v>
      </c>
      <c r="E129" s="22" t="s">
        <v>532</v>
      </c>
      <c r="F129" s="14" t="s">
        <v>0</v>
      </c>
      <c r="G129" s="40">
        <v>135465654000</v>
      </c>
      <c r="H129" s="40">
        <v>135746881900</v>
      </c>
      <c r="I129" s="16">
        <v>23</v>
      </c>
      <c r="J129" s="22" t="s">
        <v>533</v>
      </c>
      <c r="K129" s="16" t="s">
        <v>0</v>
      </c>
      <c r="L129" s="34">
        <v>2</v>
      </c>
      <c r="M129" s="16"/>
      <c r="N129" s="19" t="s">
        <v>513</v>
      </c>
      <c r="O129" s="16"/>
      <c r="P129" s="19"/>
      <c r="Q129" s="19"/>
      <c r="R129" s="23"/>
      <c r="S129" s="20">
        <f t="shared" si="0"/>
        <v>0.99792829200889366</v>
      </c>
      <c r="T129" s="20">
        <f t="shared" si="1"/>
        <v>2.0717079911063419E-3</v>
      </c>
      <c r="U129" s="28">
        <v>50</v>
      </c>
      <c r="V129" s="9"/>
      <c r="W129" s="9"/>
      <c r="X129" s="9"/>
      <c r="Y129" s="9"/>
      <c r="Z129" s="9"/>
      <c r="AA129" s="9"/>
    </row>
    <row r="130" spans="1:27" ht="14.25" customHeight="1">
      <c r="A130" s="29" t="s">
        <v>530</v>
      </c>
      <c r="B130" s="31">
        <v>88031114</v>
      </c>
      <c r="C130" s="19" t="s">
        <v>531</v>
      </c>
      <c r="D130" s="19" t="s">
        <v>534</v>
      </c>
      <c r="E130" s="22" t="s">
        <v>535</v>
      </c>
      <c r="F130" s="14" t="s">
        <v>0</v>
      </c>
      <c r="G130" s="40">
        <v>92062382700</v>
      </c>
      <c r="H130" s="40">
        <v>92035430617</v>
      </c>
      <c r="I130" s="16">
        <v>14</v>
      </c>
      <c r="J130" s="22" t="s">
        <v>536</v>
      </c>
      <c r="K130" s="16" t="s">
        <v>0</v>
      </c>
      <c r="L130" s="34">
        <v>2</v>
      </c>
      <c r="M130" s="16"/>
      <c r="N130" s="19" t="s">
        <v>537</v>
      </c>
      <c r="O130" s="16"/>
      <c r="P130" s="19"/>
      <c r="Q130" s="19"/>
      <c r="R130" s="23"/>
      <c r="S130" s="20">
        <f t="shared" si="0"/>
        <v>1.0002928446449297</v>
      </c>
      <c r="T130" s="20">
        <f t="shared" si="1"/>
        <v>-2.9284464492973505E-4</v>
      </c>
      <c r="U130" s="28">
        <v>50</v>
      </c>
      <c r="V130" s="9"/>
      <c r="W130" s="9"/>
      <c r="X130" s="9"/>
      <c r="Y130" s="9"/>
      <c r="Z130" s="9"/>
      <c r="AA130" s="9"/>
    </row>
    <row r="131" spans="1:27" ht="14.25" customHeight="1">
      <c r="A131" s="72" t="s">
        <v>538</v>
      </c>
      <c r="B131" s="73">
        <v>90014114</v>
      </c>
      <c r="C131" s="74" t="s">
        <v>539</v>
      </c>
      <c r="D131" s="74" t="s">
        <v>540</v>
      </c>
      <c r="E131" s="75" t="s">
        <v>541</v>
      </c>
      <c r="F131" s="76" t="s">
        <v>0</v>
      </c>
      <c r="G131" s="77">
        <v>1650000000</v>
      </c>
      <c r="H131" s="77">
        <v>1650000000</v>
      </c>
      <c r="I131" s="78">
        <v>17</v>
      </c>
      <c r="J131" s="75" t="s">
        <v>542</v>
      </c>
      <c r="K131" s="78" t="s">
        <v>8</v>
      </c>
      <c r="L131" s="79">
        <v>1</v>
      </c>
      <c r="M131" s="78"/>
      <c r="N131" s="74" t="s">
        <v>513</v>
      </c>
      <c r="O131" s="78"/>
      <c r="P131" s="74"/>
      <c r="Q131" s="74"/>
      <c r="R131" s="80"/>
      <c r="S131" s="81">
        <f t="shared" si="0"/>
        <v>1</v>
      </c>
      <c r="T131" s="81">
        <f t="shared" si="1"/>
        <v>0</v>
      </c>
      <c r="U131" s="82">
        <v>56</v>
      </c>
      <c r="V131" s="9"/>
      <c r="W131" s="9"/>
      <c r="X131" s="9"/>
      <c r="Y131" s="9"/>
      <c r="Z131" s="9"/>
      <c r="AA131" s="9"/>
    </row>
    <row r="132" spans="1:27" ht="15.75" customHeight="1"/>
    <row r="133" spans="1:27" ht="15.75" customHeight="1"/>
    <row r="134" spans="1:27" ht="15.75" customHeight="1"/>
    <row r="135" spans="1:27" ht="15.75" customHeight="1"/>
    <row r="136" spans="1:27" ht="15.75" customHeight="1"/>
    <row r="137" spans="1:27" ht="15.75" customHeight="1"/>
    <row r="138" spans="1:27" ht="15.75" customHeight="1"/>
    <row r="139" spans="1:27" ht="15.75" customHeight="1"/>
    <row r="140" spans="1:27" ht="15.75" customHeight="1"/>
    <row r="141" spans="1:27" ht="15.75" customHeight="1"/>
    <row r="142" spans="1:27" ht="15.75" customHeight="1"/>
    <row r="143" spans="1:27" ht="15.75" customHeight="1"/>
    <row r="144" spans="1:2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TABLE_TENDER</vt:lpstr>
      <vt:lpstr>Sheet1 (2)</vt:lpstr>
      <vt:lpstr>TABLE_TENDER!ExternalData_1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 cs</dc:creator>
  <cp:lastModifiedBy>Koordinator Pengawasan II</cp:lastModifiedBy>
  <dcterms:created xsi:type="dcterms:W3CDTF">2024-07-08T05:07:59Z</dcterms:created>
  <dcterms:modified xsi:type="dcterms:W3CDTF">2025-04-14T08:03:27Z</dcterms:modified>
</cp:coreProperties>
</file>